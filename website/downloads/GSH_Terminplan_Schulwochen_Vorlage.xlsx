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750" yWindow="7140" windowWidth="28800" windowHeight="15225" tabRatio="600" firstSheet="0" activeTab="3" autoFilterDateGrouping="1"/>
  </bookViews>
  <sheets>
    <sheet name="Anleitung1" sheetId="1" state="visible" r:id="rId1"/>
    <sheet name="Anleitung" sheetId="2" state="visible" r:id="rId2"/>
    <sheet name="Terminplan" sheetId="3" state="visible" r:id="rId3"/>
    <sheet name="Ferien" sheetId="4" state="visible" r:id="rId4"/>
    <sheet name="Kategorien" sheetId="5" state="visible" r:id="rId5"/>
  </sheets>
  <definedNames>
    <definedName name="KategorienListe">Kategorien!$A$3:$A$9</definedName>
    <definedName name="_xlnm.Print_Titles" localSheetId="2">'Terminplan'!$1:$1</definedName>
  </definedNames>
  <calcPr calcId="191029" fullCalcOnLoad="1"/>
</workbook>
</file>

<file path=xl/styles.xml><?xml version="1.0" encoding="utf-8"?>
<styleSheet xmlns="http://schemas.openxmlformats.org/spreadsheetml/2006/main">
  <numFmts count="2">
    <numFmt numFmtId="164" formatCode="yyyy\-mm\-dd"/>
    <numFmt numFmtId="165" formatCode="dd\.mm\.yyyy"/>
  </numFmts>
  <fonts count="67">
    <font>
      <name val="Calibri"/>
      <family val="2"/>
      <color theme="1"/>
      <sz val="11"/>
      <scheme val="minor"/>
    </font>
    <font>
      <name val="Calibri"/>
      <b val="1"/>
      <color rgb="FFFFFFFF"/>
      <sz val="10"/>
    </font>
    <font>
      <name val="Calibri"/>
      <sz val="9"/>
    </font>
    <font>
      <name val="Calibri"/>
      <b val="1"/>
      <color rgb="FF1A5276"/>
      <sz val="12"/>
    </font>
    <font>
      <name val="Calibri"/>
      <b val="1"/>
      <sz val="9"/>
    </font>
    <font>
      <name val="Calibri"/>
      <color rgb="FF1A5276"/>
      <sz val="9"/>
    </font>
    <font>
      <name val="Calibri"/>
      <b val="1"/>
      <i val="1"/>
      <color rgb="FF888888"/>
      <sz val="9"/>
    </font>
    <font>
      <name val="Calibri"/>
      <b val="1"/>
      <color rgb="FF1E3A5F"/>
      <sz val="18"/>
    </font>
    <font>
      <name val="Calibri"/>
      <b val="1"/>
      <color rgb="FF4F46E5"/>
      <sz val="12"/>
    </font>
    <font>
      <name val="Calibri"/>
      <color rgb="FF374151"/>
      <sz val="11"/>
    </font>
    <font>
      <name val="Calibri"/>
      <b val="1"/>
      <color rgb="FF4F46E5"/>
      <sz val="11"/>
    </font>
    <font>
      <name val="Calibri"/>
      <b val="1"/>
      <color rgb="FFFFFFFF"/>
      <sz val="10"/>
    </font>
    <font>
      <name val="Calibri"/>
      <color rgb="FF374151"/>
      <sz val="10"/>
    </font>
    <font>
      <name val="Calibri"/>
      <b val="1"/>
      <color rgb="FF7B241C"/>
      <sz val="10"/>
    </font>
    <font>
      <name val="Calibri"/>
      <b val="1"/>
      <color rgb="FF1E8449"/>
      <sz val="10"/>
    </font>
    <font>
      <name val="Calibri"/>
      <b val="1"/>
      <color rgb="FF784212"/>
      <sz val="10"/>
    </font>
    <font>
      <name val="Calibri"/>
      <b val="1"/>
      <color rgb="FF1A5276"/>
      <sz val="10"/>
    </font>
    <font>
      <name val="Calibri"/>
      <b val="1"/>
      <color rgb="FF148F77"/>
      <sz val="10"/>
    </font>
    <font>
      <name val="Calibri"/>
      <b val="1"/>
      <color rgb="FF6C3483"/>
      <sz val="10"/>
    </font>
    <font>
      <name val="Calibri"/>
      <i val="1"/>
      <color rgb="FF9CA3AF"/>
      <sz val="10"/>
    </font>
    <font>
      <name val="Calibri"/>
      <b val="1"/>
      <color rgb="FFFFFFFF"/>
      <sz val="11"/>
    </font>
    <font>
      <name val="Calibri"/>
      <color rgb="FFFFFFFF"/>
      <sz val="10"/>
    </font>
    <font>
      <name val="Calibri"/>
      <color rgb="FF111827"/>
      <sz val="11"/>
    </font>
    <font>
      <name val="Calibri"/>
      <i val="1"/>
      <color rgb="FF4F46E5"/>
      <sz val="10"/>
    </font>
    <font>
      <name val="Calibri"/>
      <b val="1"/>
      <color rgb="FF1E3A5F"/>
      <sz val="13"/>
    </font>
    <font>
      <name val="Calibri"/>
      <b val="1"/>
      <color rgb="FF7B241C"/>
      <sz val="11"/>
    </font>
    <font>
      <name val="Calibri"/>
      <color rgb="FF7B241C"/>
      <sz val="11"/>
    </font>
    <font>
      <name val="Calibri"/>
      <b val="1"/>
      <color rgb="FF1E8449"/>
      <sz val="11"/>
    </font>
    <font>
      <name val="Calibri"/>
      <color rgb="FF1E8449"/>
      <sz val="11"/>
    </font>
    <font>
      <name val="Calibri"/>
      <b val="1"/>
      <color rgb="FF784212"/>
      <sz val="11"/>
    </font>
    <font>
      <name val="Calibri"/>
      <color rgb="FF784212"/>
      <sz val="11"/>
    </font>
    <font>
      <name val="Calibri"/>
      <b val="1"/>
      <color rgb="FF1A5276"/>
      <sz val="11"/>
    </font>
    <font>
      <name val="Calibri"/>
      <color rgb="FF1A5276"/>
      <sz val="11"/>
    </font>
    <font>
      <name val="Calibri"/>
      <b val="1"/>
      <color rgb="FF148F77"/>
      <sz val="11"/>
    </font>
    <font>
      <name val="Calibri"/>
      <color rgb="FF148F77"/>
      <sz val="11"/>
    </font>
    <font>
      <name val="Calibri"/>
      <b val="1"/>
      <color rgb="FF6C3483"/>
      <sz val="11"/>
    </font>
    <font>
      <name val="Calibri"/>
      <color rgb="FF6C3483"/>
      <sz val="11"/>
    </font>
    <font>
      <name val="Calibri"/>
      <b val="1"/>
      <color rgb="001E3A5F"/>
      <sz val="18"/>
    </font>
    <font>
      <name val="Calibri"/>
      <b val="1"/>
      <color rgb="004F46E5"/>
      <sz val="12"/>
    </font>
    <font>
      <name val="Calibri"/>
      <color rgb="00374151"/>
      <sz val="11"/>
    </font>
    <font>
      <name val="Calibri"/>
      <b val="1"/>
      <color rgb="004F46E5"/>
      <sz val="11"/>
    </font>
    <font>
      <name val="Calibri"/>
      <b val="1"/>
      <color rgb="00FFFFFF"/>
      <sz val="10"/>
    </font>
    <font>
      <name val="Calibri"/>
      <color rgb="00374151"/>
      <sz val="10"/>
    </font>
    <font>
      <name val="Calibri"/>
      <b val="1"/>
      <color rgb="007B241C"/>
      <sz val="10"/>
    </font>
    <font>
      <name val="Calibri"/>
      <b val="1"/>
      <color rgb="001E8449"/>
      <sz val="10"/>
    </font>
    <font>
      <name val="Calibri"/>
      <b val="1"/>
      <color rgb="00784212"/>
      <sz val="10"/>
    </font>
    <font>
      <name val="Calibri"/>
      <b val="1"/>
      <color rgb="001A5276"/>
      <sz val="10"/>
    </font>
    <font>
      <name val="Calibri"/>
      <b val="1"/>
      <color rgb="00148F77"/>
      <sz val="10"/>
    </font>
    <font>
      <name val="Calibri"/>
      <b val="1"/>
      <color rgb="006C3483"/>
      <sz val="10"/>
    </font>
    <font>
      <name val="Calibri"/>
      <i val="1"/>
      <color rgb="009CA3AF"/>
      <sz val="10"/>
    </font>
    <font>
      <name val="Calibri"/>
      <b val="1"/>
      <color rgb="00FFFFFF"/>
      <sz val="11"/>
    </font>
    <font>
      <name val="Calibri"/>
      <color rgb="00FFFFFF"/>
      <sz val="10"/>
    </font>
    <font>
      <name val="Calibri"/>
      <color rgb="00111827"/>
      <sz val="11"/>
    </font>
    <font>
      <name val="Calibri"/>
      <i val="1"/>
      <color rgb="004F46E5"/>
      <sz val="10"/>
    </font>
    <font>
      <name val="Calibri"/>
      <b val="1"/>
      <color rgb="001E3A5F"/>
      <sz val="13"/>
    </font>
    <font>
      <name val="Calibri"/>
      <b val="1"/>
      <color rgb="007B241C"/>
      <sz val="11"/>
    </font>
    <font>
      <name val="Calibri"/>
      <color rgb="007B241C"/>
      <sz val="11"/>
    </font>
    <font>
      <name val="Calibri"/>
      <b val="1"/>
      <color rgb="001E8449"/>
      <sz val="11"/>
    </font>
    <font>
      <name val="Calibri"/>
      <color rgb="001E8449"/>
      <sz val="11"/>
    </font>
    <font>
      <name val="Calibri"/>
      <b val="1"/>
      <color rgb="00784212"/>
      <sz val="11"/>
    </font>
    <font>
      <name val="Calibri"/>
      <color rgb="00784212"/>
      <sz val="11"/>
    </font>
    <font>
      <name val="Calibri"/>
      <b val="1"/>
      <color rgb="001A5276"/>
      <sz val="11"/>
    </font>
    <font>
      <name val="Calibri"/>
      <color rgb="001A5276"/>
      <sz val="11"/>
    </font>
    <font>
      <name val="Calibri"/>
      <b val="1"/>
      <color rgb="00148F77"/>
      <sz val="11"/>
    </font>
    <font>
      <name val="Calibri"/>
      <color rgb="00148F77"/>
      <sz val="11"/>
    </font>
    <font>
      <name val="Calibri"/>
      <b val="1"/>
      <color rgb="006C3483"/>
      <sz val="11"/>
    </font>
    <font>
      <name val="Calibri"/>
      <color rgb="006C3483"/>
      <sz val="11"/>
    </font>
  </fonts>
  <fills count="31">
    <fill>
      <patternFill/>
    </fill>
    <fill>
      <patternFill patternType="gray125"/>
    </fill>
    <fill>
      <patternFill patternType="solid">
        <fgColor rgb="FF2C3E50"/>
      </patternFill>
    </fill>
    <fill>
      <patternFill patternType="solid">
        <fgColor rgb="FF1A5276"/>
      </patternFill>
    </fill>
    <fill>
      <patternFill patternType="solid">
        <fgColor rgb="FFF8F9FA"/>
      </patternFill>
    </fill>
    <fill>
      <patternFill patternType="solid">
        <fgColor rgb="FFFFFFFF"/>
      </patternFill>
    </fill>
    <fill>
      <patternFill patternType="solid">
        <fgColor rgb="FF1E8449"/>
      </patternFill>
    </fill>
    <fill>
      <patternFill patternType="solid">
        <fgColor rgb="FFEEF2FF"/>
      </patternFill>
    </fill>
    <fill>
      <patternFill patternType="solid">
        <fgColor rgb="FF1E3A5F"/>
      </patternFill>
    </fill>
    <fill>
      <patternFill patternType="solid">
        <fgColor rgb="FFF8FAFC"/>
      </patternFill>
    </fill>
    <fill>
      <patternFill patternType="solid">
        <fgColor rgb="FFFFFFFF"/>
      </patternFill>
    </fill>
    <fill>
      <patternFill patternType="solid">
        <fgColor rgb="FFFADBD8"/>
      </patternFill>
    </fill>
    <fill>
      <patternFill patternType="solid">
        <fgColor rgb="FFD5F5E3"/>
      </patternFill>
    </fill>
    <fill>
      <patternFill patternType="solid">
        <fgColor rgb="FFFDE8D3"/>
      </patternFill>
    </fill>
    <fill>
      <patternFill patternType="solid">
        <fgColor rgb="FFD4E6F1"/>
      </patternFill>
    </fill>
    <fill>
      <patternFill patternType="solid">
        <fgColor rgb="FFD1F2EB"/>
      </patternFill>
    </fill>
    <fill>
      <patternFill patternType="solid">
        <fgColor rgb="FFFDEBD0"/>
      </patternFill>
    </fill>
    <fill>
      <patternFill patternType="solid">
        <fgColor rgb="FFE8DAEF"/>
      </patternFill>
    </fill>
    <fill>
      <patternFill patternType="solid">
        <fgColor rgb="FF4F46E5"/>
      </patternFill>
    </fill>
    <fill>
      <patternFill patternType="solid">
        <fgColor rgb="00EEF2FF"/>
      </patternFill>
    </fill>
    <fill>
      <patternFill patternType="solid">
        <fgColor rgb="001E3A5F"/>
      </patternFill>
    </fill>
    <fill>
      <patternFill patternType="solid">
        <fgColor rgb="00F8FAFC"/>
      </patternFill>
    </fill>
    <fill>
      <patternFill patternType="solid">
        <fgColor rgb="00FFFFFF"/>
      </patternFill>
    </fill>
    <fill>
      <patternFill patternType="solid">
        <fgColor rgb="00FADBD8"/>
      </patternFill>
    </fill>
    <fill>
      <patternFill patternType="solid">
        <fgColor rgb="00D5F5E3"/>
      </patternFill>
    </fill>
    <fill>
      <patternFill patternType="solid">
        <fgColor rgb="00FDE8D3"/>
      </patternFill>
    </fill>
    <fill>
      <patternFill patternType="solid">
        <fgColor rgb="00D4E6F1"/>
      </patternFill>
    </fill>
    <fill>
      <patternFill patternType="solid">
        <fgColor rgb="00D1F2EB"/>
      </patternFill>
    </fill>
    <fill>
      <patternFill patternType="solid">
        <fgColor rgb="00FDEBD0"/>
      </patternFill>
    </fill>
    <fill>
      <patternFill patternType="solid">
        <fgColor rgb="00E8DAEF"/>
      </patternFill>
    </fill>
    <fill>
      <patternFill patternType="solid">
        <fgColor rgb="004F46E5"/>
      </patternFill>
    </fill>
  </fills>
  <borders count="4">
    <border>
      <left/>
      <right/>
      <top/>
      <bottom/>
      <diagonal/>
    </border>
    <border>
      <left style="thin">
        <color rgb="FFDDDDDD"/>
      </left>
      <right style="thin">
        <color rgb="FFDDDDDD"/>
      </right>
      <top style="thin">
        <color rgb="FFDDDDDD"/>
      </top>
      <bottom style="thin">
        <color rgb="FFDDDDDD"/>
      </bottom>
      <diagonal/>
    </border>
    <border>
      <left style="thin">
        <color rgb="FFD0D5DD"/>
      </left>
      <right style="thin">
        <color rgb="FFD0D5DD"/>
      </right>
      <top style="thin">
        <color rgb="FFD0D5DD"/>
      </top>
      <bottom style="thin">
        <color rgb="FFD0D5DD"/>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1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1" fillId="6" borderId="1" applyAlignment="1" pivotButton="0" quotePrefix="0" xfId="0">
      <alignment horizontal="center" vertical="center"/>
    </xf>
    <xf numFmtId="0" fontId="2" fillId="4" borderId="1" pivotButton="0" quotePrefix="0" xfId="0"/>
    <xf numFmtId="0" fontId="2" fillId="5" borderId="1" pivotButton="0" quotePrefix="0" xfId="0"/>
    <xf numFmtId="0" fontId="4" fillId="0" borderId="0" pivotButton="0" quotePrefix="0" xfId="0"/>
    <xf numFmtId="14" fontId="5" fillId="0" borderId="0" pivotButton="0" quotePrefix="0" xfId="0"/>
    <xf numFmtId="164" fontId="1" fillId="3" borderId="1" applyAlignment="1" pivotButton="0" quotePrefix="0" xfId="0">
      <alignment horizontal="center" vertical="center"/>
    </xf>
    <xf numFmtId="0" fontId="6" fillId="0" borderId="0" pivotButton="0" quotePrefix="0" xfId="0"/>
    <xf numFmtId="165" fontId="0" fillId="0" borderId="0" pivotButton="0" quotePrefix="0" xfId="0"/>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wrapText="1"/>
    </xf>
    <xf numFmtId="0" fontId="10" fillId="7" borderId="0" applyAlignment="1" pivotButton="0" quotePrefix="0" xfId="0">
      <alignment horizontal="left" vertical="center"/>
    </xf>
    <xf numFmtId="0" fontId="9" fillId="7" borderId="0" applyAlignment="1" pivotButton="0" quotePrefix="0" xfId="0">
      <alignment vertical="center" wrapText="1"/>
    </xf>
    <xf numFmtId="0" fontId="11" fillId="8" borderId="2" applyAlignment="1" pivotButton="0" quotePrefix="0" xfId="0">
      <alignment vertical="top" wrapText="1"/>
    </xf>
    <xf numFmtId="0" fontId="12" fillId="9" borderId="2" applyAlignment="1" pivotButton="0" quotePrefix="0" xfId="0">
      <alignment vertical="top" wrapText="1"/>
    </xf>
    <xf numFmtId="0" fontId="12" fillId="10" borderId="2" applyAlignment="1" pivotButton="0" quotePrefix="0" xfId="0">
      <alignment vertical="top" wrapText="1"/>
    </xf>
    <xf numFmtId="0" fontId="13" fillId="11" borderId="2" pivotButton="0" quotePrefix="0" xfId="0"/>
    <xf numFmtId="0" fontId="12" fillId="10" borderId="2" pivotButton="0" quotePrefix="0" xfId="0"/>
    <xf numFmtId="0" fontId="14" fillId="12" borderId="2" pivotButton="0" quotePrefix="0" xfId="0"/>
    <xf numFmtId="0" fontId="15" fillId="13" borderId="2" pivotButton="0" quotePrefix="0" xfId="0"/>
    <xf numFmtId="0" fontId="16" fillId="14" borderId="2" pivotButton="0" quotePrefix="0" xfId="0"/>
    <xf numFmtId="0" fontId="17" fillId="15" borderId="2" pivotButton="0" quotePrefix="0" xfId="0"/>
    <xf numFmtId="0" fontId="15" fillId="16" borderId="2" pivotButton="0" quotePrefix="0" xfId="0"/>
    <xf numFmtId="0" fontId="18" fillId="17" borderId="2" pivotButton="0" quotePrefix="0" xfId="0"/>
    <xf numFmtId="0" fontId="20" fillId="8" borderId="2" applyAlignment="1" pivotButton="0" quotePrefix="0" xfId="0">
      <alignment horizontal="center" vertical="center"/>
    </xf>
    <xf numFmtId="0" fontId="11" fillId="18" borderId="2" applyAlignment="1" pivotButton="0" quotePrefix="0" xfId="0">
      <alignment horizontal="left" vertical="center" indent="1"/>
    </xf>
    <xf numFmtId="0" fontId="21" fillId="18" borderId="2" applyAlignment="1" pivotButton="0" quotePrefix="0" xfId="0">
      <alignment horizontal="left" vertical="center"/>
    </xf>
    <xf numFmtId="0" fontId="22" fillId="9" borderId="2" applyAlignment="1" pivotButton="0" quotePrefix="0" xfId="0">
      <alignment vertical="center"/>
    </xf>
    <xf numFmtId="0" fontId="22" fillId="9" borderId="2" applyAlignment="1" pivotButton="0" quotePrefix="0" xfId="0">
      <alignment vertical="center" wrapText="1"/>
    </xf>
    <xf numFmtId="0" fontId="22" fillId="10" borderId="2" applyAlignment="1" pivotButton="0" quotePrefix="0" xfId="0">
      <alignment vertical="center"/>
    </xf>
    <xf numFmtId="0" fontId="22" fillId="10" borderId="2" applyAlignment="1" pivotButton="0" quotePrefix="0" xfId="0">
      <alignment vertical="center" wrapText="1"/>
    </xf>
    <xf numFmtId="14" fontId="22" fillId="10" borderId="2" applyAlignment="1" pivotButton="0" quotePrefix="0" xfId="0">
      <alignment vertical="center"/>
    </xf>
    <xf numFmtId="14" fontId="22" fillId="9" borderId="2" applyAlignment="1" pivotButton="0" quotePrefix="0" xfId="0">
      <alignment vertical="center"/>
    </xf>
    <xf numFmtId="0" fontId="23" fillId="0" borderId="0" pivotButton="0" quotePrefix="0" xfId="0"/>
    <xf numFmtId="0" fontId="25" fillId="11" borderId="2" applyAlignment="1" pivotButton="0" quotePrefix="0" xfId="0">
      <alignment vertical="center"/>
    </xf>
    <xf numFmtId="0" fontId="26" fillId="11" borderId="2" applyAlignment="1" pivotButton="0" quotePrefix="0" xfId="0">
      <alignment vertical="center"/>
    </xf>
    <xf numFmtId="0" fontId="26" fillId="11" borderId="2" applyAlignment="1" pivotButton="0" quotePrefix="0" xfId="0">
      <alignment vertical="center" wrapText="1"/>
    </xf>
    <xf numFmtId="0" fontId="27" fillId="12" borderId="2" applyAlignment="1" pivotButton="0" quotePrefix="0" xfId="0">
      <alignment vertical="center"/>
    </xf>
    <xf numFmtId="0" fontId="28" fillId="12" borderId="2" applyAlignment="1" pivotButton="0" quotePrefix="0" xfId="0">
      <alignment vertical="center"/>
    </xf>
    <xf numFmtId="0" fontId="28" fillId="12" borderId="2" applyAlignment="1" pivotButton="0" quotePrefix="0" xfId="0">
      <alignment vertical="center" wrapText="1"/>
    </xf>
    <xf numFmtId="0" fontId="29" fillId="13" borderId="2" applyAlignment="1" pivotButton="0" quotePrefix="0" xfId="0">
      <alignment vertical="center"/>
    </xf>
    <xf numFmtId="0" fontId="30" fillId="13" borderId="2" applyAlignment="1" pivotButton="0" quotePrefix="0" xfId="0">
      <alignment vertical="center"/>
    </xf>
    <xf numFmtId="0" fontId="30" fillId="13" borderId="2" applyAlignment="1" pivotButton="0" quotePrefix="0" xfId="0">
      <alignment vertical="center" wrapText="1"/>
    </xf>
    <xf numFmtId="0" fontId="31" fillId="14" borderId="2" applyAlignment="1" pivotButton="0" quotePrefix="0" xfId="0">
      <alignment vertical="center"/>
    </xf>
    <xf numFmtId="0" fontId="32" fillId="14" borderId="2" applyAlignment="1" pivotButton="0" quotePrefix="0" xfId="0">
      <alignment vertical="center"/>
    </xf>
    <xf numFmtId="0" fontId="32" fillId="14" borderId="2" applyAlignment="1" pivotButton="0" quotePrefix="0" xfId="0">
      <alignment vertical="center" wrapText="1"/>
    </xf>
    <xf numFmtId="0" fontId="33" fillId="15" borderId="2" applyAlignment="1" pivotButton="0" quotePrefix="0" xfId="0">
      <alignment vertical="center"/>
    </xf>
    <xf numFmtId="0" fontId="34" fillId="15" borderId="2" applyAlignment="1" pivotButton="0" quotePrefix="0" xfId="0">
      <alignment vertical="center"/>
    </xf>
    <xf numFmtId="0" fontId="34" fillId="15" borderId="2" applyAlignment="1" pivotButton="0" quotePrefix="0" xfId="0">
      <alignment vertical="center" wrapText="1"/>
    </xf>
    <xf numFmtId="0" fontId="29" fillId="16" borderId="2" applyAlignment="1" pivotButton="0" quotePrefix="0" xfId="0">
      <alignment vertical="center"/>
    </xf>
    <xf numFmtId="0" fontId="30" fillId="16" borderId="2" applyAlignment="1" pivotButton="0" quotePrefix="0" xfId="0">
      <alignment vertical="center"/>
    </xf>
    <xf numFmtId="0" fontId="30" fillId="16" borderId="2" applyAlignment="1" pivotButton="0" quotePrefix="0" xfId="0">
      <alignment vertical="center" wrapText="1"/>
    </xf>
    <xf numFmtId="0" fontId="35" fillId="17" borderId="2" applyAlignment="1" pivotButton="0" quotePrefix="0" xfId="0">
      <alignment vertical="center"/>
    </xf>
    <xf numFmtId="0" fontId="36" fillId="17" borderId="2" applyAlignment="1" pivotButton="0" quotePrefix="0" xfId="0">
      <alignment vertical="center"/>
    </xf>
    <xf numFmtId="0" fontId="36" fillId="17" borderId="2" applyAlignment="1" pivotButton="0" quotePrefix="0" xfId="0">
      <alignment vertical="center" wrapText="1"/>
    </xf>
    <xf numFmtId="0" fontId="9" fillId="0" borderId="0" applyAlignment="1" pivotButton="0" quotePrefix="0" xfId="0">
      <alignment vertical="center" wrapText="1"/>
    </xf>
    <xf numFmtId="0" fontId="0" fillId="0" borderId="0" pivotButton="0" quotePrefix="0" xfId="0"/>
    <xf numFmtId="0" fontId="19" fillId="0" borderId="0" pivotButton="0" quotePrefix="0" xfId="0"/>
    <xf numFmtId="0" fontId="8" fillId="0" borderId="0" applyAlignment="1" pivotButton="0" quotePrefix="0" xfId="0">
      <alignment horizontal="left" vertical="center"/>
    </xf>
    <xf numFmtId="0" fontId="3" fillId="0" borderId="0" applyAlignment="1" pivotButton="0" quotePrefix="0" xfId="0">
      <alignment horizontal="center" vertical="center"/>
    </xf>
    <xf numFmtId="0" fontId="24" fillId="0" borderId="0" applyAlignment="1" pivotButton="0" quotePrefix="0" xfId="0">
      <alignment horizontal="center"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9" fillId="0" borderId="0" applyAlignment="1" pivotButton="0" quotePrefix="0" xfId="0">
      <alignment horizontal="left" vertical="center" wrapText="1"/>
    </xf>
    <xf numFmtId="0" fontId="40" fillId="19" borderId="0" applyAlignment="1" pivotButton="0" quotePrefix="0" xfId="0">
      <alignment horizontal="left" vertical="center"/>
    </xf>
    <xf numFmtId="0" fontId="39" fillId="19" borderId="0" applyAlignment="1" pivotButton="0" quotePrefix="0" xfId="0">
      <alignment vertical="center" wrapText="1"/>
    </xf>
    <xf numFmtId="0" fontId="41" fillId="20" borderId="3" applyAlignment="1" pivotButton="0" quotePrefix="0" xfId="0">
      <alignment vertical="top" wrapText="1"/>
    </xf>
    <xf numFmtId="0" fontId="42" fillId="21" borderId="3" applyAlignment="1" pivotButton="0" quotePrefix="0" xfId="0">
      <alignment vertical="top" wrapText="1"/>
    </xf>
    <xf numFmtId="0" fontId="42" fillId="22" borderId="3" applyAlignment="1" pivotButton="0" quotePrefix="0" xfId="0">
      <alignment vertical="top" wrapText="1"/>
    </xf>
    <xf numFmtId="0" fontId="39" fillId="0" borderId="0" applyAlignment="1" pivotButton="0" quotePrefix="0" xfId="0">
      <alignment vertical="center" wrapText="1"/>
    </xf>
    <xf numFmtId="0" fontId="43" fillId="23" borderId="3" pivotButton="0" quotePrefix="0" xfId="0"/>
    <xf numFmtId="0" fontId="42" fillId="22" borderId="3" pivotButton="0" quotePrefix="0" xfId="0"/>
    <xf numFmtId="0" fontId="44" fillId="24" borderId="3" pivotButton="0" quotePrefix="0" xfId="0"/>
    <xf numFmtId="0" fontId="45" fillId="25" borderId="3" pivotButton="0" quotePrefix="0" xfId="0"/>
    <xf numFmtId="0" fontId="46" fillId="26" borderId="3" pivotButton="0" quotePrefix="0" xfId="0"/>
    <xf numFmtId="0" fontId="47" fillId="27" borderId="3" pivotButton="0" quotePrefix="0" xfId="0"/>
    <xf numFmtId="0" fontId="45" fillId="28" borderId="3" pivotButton="0" quotePrefix="0" xfId="0"/>
    <xf numFmtId="0" fontId="48" fillId="29" borderId="3" pivotButton="0" quotePrefix="0" xfId="0"/>
    <xf numFmtId="0" fontId="49" fillId="0" borderId="0" pivotButton="0" quotePrefix="0" xfId="0"/>
    <xf numFmtId="0" fontId="50" fillId="20" borderId="3" applyAlignment="1" pivotButton="0" quotePrefix="0" xfId="0">
      <alignment horizontal="center" vertical="center"/>
    </xf>
    <xf numFmtId="0" fontId="41" fillId="30" borderId="3" applyAlignment="1" pivotButton="0" quotePrefix="0" xfId="0">
      <alignment horizontal="left" vertical="center" indent="1"/>
    </xf>
    <xf numFmtId="0" fontId="51" fillId="30" borderId="3" applyAlignment="1" pivotButton="0" quotePrefix="0" xfId="0">
      <alignment horizontal="left" vertical="center"/>
    </xf>
    <xf numFmtId="0" fontId="52" fillId="22" borderId="3" applyAlignment="1" pivotButton="0" quotePrefix="0" xfId="0">
      <alignment vertical="center"/>
    </xf>
    <xf numFmtId="0" fontId="52" fillId="22" borderId="3" applyAlignment="1" pivotButton="0" quotePrefix="0" xfId="0">
      <alignment vertical="center" wrapText="1"/>
    </xf>
    <xf numFmtId="0" fontId="52" fillId="21" borderId="3" applyAlignment="1" pivotButton="0" quotePrefix="0" xfId="0">
      <alignment vertical="center"/>
    </xf>
    <xf numFmtId="0" fontId="52" fillId="21" borderId="3" applyAlignment="1" pivotButton="0" quotePrefix="0" xfId="0">
      <alignment vertical="center" wrapText="1"/>
    </xf>
    <xf numFmtId="0" fontId="52" fillId="22" borderId="3" applyAlignment="1" pivotButton="0" quotePrefix="0" xfId="0">
      <alignment vertical="center"/>
    </xf>
    <xf numFmtId="14" fontId="52" fillId="22" borderId="3" applyAlignment="1" pivotButton="0" quotePrefix="0" xfId="0">
      <alignment vertical="center"/>
    </xf>
    <xf numFmtId="0" fontId="52" fillId="21" borderId="3" applyAlignment="1" pivotButton="0" quotePrefix="0" xfId="0">
      <alignment vertical="center"/>
    </xf>
    <xf numFmtId="14" fontId="52" fillId="21" borderId="3" applyAlignment="1" pivotButton="0" quotePrefix="0" xfId="0">
      <alignment vertical="center"/>
    </xf>
    <xf numFmtId="0" fontId="53" fillId="0" borderId="0" pivotButton="0" quotePrefix="0" xfId="0"/>
    <xf numFmtId="0" fontId="54" fillId="0" borderId="0" applyAlignment="1" pivotButton="0" quotePrefix="0" xfId="0">
      <alignment horizontal="center" vertical="center"/>
    </xf>
    <xf numFmtId="0" fontId="55" fillId="23" borderId="3" applyAlignment="1" pivotButton="0" quotePrefix="0" xfId="0">
      <alignment vertical="center"/>
    </xf>
    <xf numFmtId="0" fontId="56" fillId="23" borderId="3" applyAlignment="1" pivotButton="0" quotePrefix="0" xfId="0">
      <alignment vertical="center"/>
    </xf>
    <xf numFmtId="0" fontId="56" fillId="23" borderId="3" applyAlignment="1" pivotButton="0" quotePrefix="0" xfId="0">
      <alignment vertical="center" wrapText="1"/>
    </xf>
    <xf numFmtId="0" fontId="57" fillId="24" borderId="3" applyAlignment="1" pivotButton="0" quotePrefix="0" xfId="0">
      <alignment vertical="center"/>
    </xf>
    <xf numFmtId="0" fontId="58" fillId="24" borderId="3" applyAlignment="1" pivotButton="0" quotePrefix="0" xfId="0">
      <alignment vertical="center"/>
    </xf>
    <xf numFmtId="0" fontId="58" fillId="24" borderId="3" applyAlignment="1" pivotButton="0" quotePrefix="0" xfId="0">
      <alignment vertical="center" wrapText="1"/>
    </xf>
    <xf numFmtId="0" fontId="59" fillId="25" borderId="3" applyAlignment="1" pivotButton="0" quotePrefix="0" xfId="0">
      <alignment vertical="center"/>
    </xf>
    <xf numFmtId="0" fontId="60" fillId="25" borderId="3" applyAlignment="1" pivotButton="0" quotePrefix="0" xfId="0">
      <alignment vertical="center"/>
    </xf>
    <xf numFmtId="0" fontId="60" fillId="25" borderId="3" applyAlignment="1" pivotButton="0" quotePrefix="0" xfId="0">
      <alignment vertical="center" wrapText="1"/>
    </xf>
    <xf numFmtId="0" fontId="61" fillId="26" borderId="3" applyAlignment="1" pivotButton="0" quotePrefix="0" xfId="0">
      <alignment vertical="center"/>
    </xf>
    <xf numFmtId="0" fontId="62" fillId="26" borderId="3" applyAlignment="1" pivotButton="0" quotePrefix="0" xfId="0">
      <alignment vertical="center"/>
    </xf>
    <xf numFmtId="0" fontId="62" fillId="26" borderId="3" applyAlignment="1" pivotButton="0" quotePrefix="0" xfId="0">
      <alignment vertical="center" wrapText="1"/>
    </xf>
    <xf numFmtId="0" fontId="63" fillId="27" borderId="3" applyAlignment="1" pivotButton="0" quotePrefix="0" xfId="0">
      <alignment vertical="center"/>
    </xf>
    <xf numFmtId="0" fontId="64" fillId="27" borderId="3" applyAlignment="1" pivotButton="0" quotePrefix="0" xfId="0">
      <alignment vertical="center"/>
    </xf>
    <xf numFmtId="0" fontId="64" fillId="27" borderId="3" applyAlignment="1" pivotButton="0" quotePrefix="0" xfId="0">
      <alignment vertical="center" wrapText="1"/>
    </xf>
    <xf numFmtId="0" fontId="59" fillId="28" borderId="3" applyAlignment="1" pivotButton="0" quotePrefix="0" xfId="0">
      <alignment vertical="center"/>
    </xf>
    <xf numFmtId="0" fontId="60" fillId="28" borderId="3" applyAlignment="1" pivotButton="0" quotePrefix="0" xfId="0">
      <alignment vertical="center"/>
    </xf>
    <xf numFmtId="0" fontId="60" fillId="28" borderId="3" applyAlignment="1" pivotButton="0" quotePrefix="0" xfId="0">
      <alignment vertical="center" wrapText="1"/>
    </xf>
    <xf numFmtId="0" fontId="65" fillId="29" borderId="3" applyAlignment="1" pivotButton="0" quotePrefix="0" xfId="0">
      <alignment vertical="center"/>
    </xf>
    <xf numFmtId="0" fontId="66" fillId="29" borderId="3" applyAlignment="1" pivotButton="0" quotePrefix="0" xfId="0">
      <alignment vertical="center"/>
    </xf>
    <xf numFmtId="0" fontId="66" fillId="29" borderId="3" applyAlignment="1" pivotButton="0" quotePrefix="0" xfId="0">
      <alignment vertical="center"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B2:C50"/>
  <sheetViews>
    <sheetView showGridLines="0" workbookViewId="0">
      <selection activeCell="A1" sqref="A1"/>
    </sheetView>
  </sheetViews>
  <sheetFormatPr baseColWidth="8" defaultRowHeight="15"/>
  <cols>
    <col width="3" customWidth="1" style="62" min="1" max="1"/>
    <col width="35" customWidth="1" style="62" min="2" max="2"/>
    <col width="58" customWidth="1" style="62" min="3" max="3"/>
    <col width="3" customWidth="1" style="62" min="4" max="4"/>
  </cols>
  <sheetData>
    <row r="2" ht="32" customHeight="1" s="62">
      <c r="B2" s="67" t="inlineStr">
        <is>
          <t>GSH Schuljahreskalender - Anleitung</t>
        </is>
      </c>
    </row>
    <row r="4" ht="18" customHeight="1" s="62">
      <c r="B4" s="68" t="inlineStr">
        <is>
          <t>Was ist das?</t>
        </is>
      </c>
    </row>
    <row r="5">
      <c r="B5" s="69" t="inlineStr">
        <is>
          <t>dem Konverter-Tool zu einer ICS-Datei und importierst sie in IServ.</t>
        </is>
      </c>
    </row>
    <row r="6" ht="22" customHeight="1" s="62">
      <c r="B6" s="68" t="inlineStr">
        <is>
          <t>Gesamter Ablauf (einmal pro Schuljahr)</t>
        </is>
      </c>
    </row>
    <row r="7" ht="22" customHeight="1" s="62">
      <c r="B7" s="70" t="inlineStr">
        <is>
          <t xml:space="preserve">  1.</t>
        </is>
      </c>
      <c r="C7" s="71" t="inlineStr">
        <is>
          <t>Ferien eintragen - Tab "Ferien" oeffnen und Ferientermine fuer das neue Schuljahr eintragen.</t>
        </is>
      </c>
    </row>
    <row r="8" ht="22" customHeight="1" s="62">
      <c r="B8" s="70" t="inlineStr">
        <is>
          <t xml:space="preserve">  2.</t>
        </is>
      </c>
      <c r="C8" s="71" t="inlineStr">
        <is>
          <t>Termine eintragen - Tab "Terminplan" oeffnen und alle Schultermine eintragen.</t>
        </is>
      </c>
    </row>
    <row r="9" ht="22" customHeight="1" s="62">
      <c r="B9" s="70" t="inlineStr">
        <is>
          <t xml:space="preserve">  3.</t>
        </is>
      </c>
      <c r="C9" s="71" t="inlineStr">
        <is>
          <t>Konverter oeffnen - Datei GSH_Terminplan_Konverter.html im Browser oeffnen (Chrome empfohlen).</t>
        </is>
      </c>
    </row>
    <row r="10" ht="22" customHeight="1" s="62">
      <c r="B10" s="70" t="inlineStr">
        <is>
          <t xml:space="preserve">  4.</t>
        </is>
      </c>
      <c r="C10" s="71" t="inlineStr">
        <is>
          <t>Excel importieren - Diese Excel-Datei in das Konverter-Tool ziehen.</t>
        </is>
      </c>
    </row>
    <row r="11" ht="22" customHeight="1" s="62">
      <c r="B11" s="70" t="inlineStr">
        <is>
          <t xml:space="preserve">  5.</t>
        </is>
      </c>
      <c r="C11" s="71" t="inlineStr">
        <is>
          <t>ICS herunterladen - Auf "ICS herunterladen" klicken. Datei wird im Download-Ordner gespeichert.</t>
        </is>
      </c>
    </row>
    <row r="12" ht="22" customHeight="1" s="62">
      <c r="B12" s="70" t="inlineStr">
        <is>
          <t xml:space="preserve">  6.</t>
        </is>
      </c>
      <c r="C12" s="71" t="inlineStr">
        <is>
          <t>ICS in IServ importieren - In IServ -&gt; Kalender -&gt; Einstellungen -&gt; Importieren -&gt; ICS-Datei auswaehlen.</t>
        </is>
      </c>
    </row>
    <row r="14" ht="22" customHeight="1" s="62">
      <c r="B14" s="68" t="inlineStr">
        <is>
          <t>So traegst du Termine ein (Tab "Terminplan")</t>
        </is>
      </c>
    </row>
    <row r="15" ht="22" customHeight="1" s="62">
      <c r="B15" s="70" t="inlineStr">
        <is>
          <t xml:space="preserve">  1.</t>
        </is>
      </c>
      <c r="C15" s="71" t="inlineStr">
        <is>
          <t>Schulwoche finden - Spalte D zeigt die Woche (z.B. "25.08. - 29.08.2025"). Richtige Woche suchen.</t>
        </is>
      </c>
    </row>
    <row r="16" ht="22" customHeight="1" s="62">
      <c r="B16" s="70" t="inlineStr">
        <is>
          <t xml:space="preserve">  2.</t>
        </is>
      </c>
      <c r="C16" s="71" t="inlineStr">
        <is>
          <t>Wochentag waehlen - In Spalte E klicken - Dropdown erscheint (Mo / Di / Mi / Do / Fr / Ganze Woche).</t>
        </is>
      </c>
    </row>
    <row r="17" ht="22" customHeight="1" s="62">
      <c r="B17" s="70" t="inlineStr">
        <is>
          <t xml:space="preserve">  3.</t>
        </is>
      </c>
      <c r="C17" s="71" t="inlineStr">
        <is>
          <t>Uhrzeit eintragen - Start- und Endzeit in Spalte F/G eintragen (Format: 08:30). Leer = ganztaegig.</t>
        </is>
      </c>
    </row>
    <row r="18" ht="22" customHeight="1" s="62">
      <c r="B18" s="70" t="inlineStr">
        <is>
          <t xml:space="preserve">  4.</t>
        </is>
      </c>
      <c r="C18" s="71" t="inlineStr">
        <is>
          <t>Titel eintragen - Bezeichnung des Termins in Spalte H eintragen (Pflichtfeld).</t>
        </is>
      </c>
    </row>
    <row r="19" ht="22" customHeight="1" s="62">
      <c r="B19" s="70" t="inlineStr">
        <is>
          <t xml:space="preserve">  5.</t>
        </is>
      </c>
      <c r="C19" s="71" t="inlineStr">
        <is>
          <t>Kategorie waehlen - In Spalte I klicken - Dropdown mit allen Kategorien erscheint.</t>
        </is>
      </c>
    </row>
    <row r="20" ht="22" customHeight="1" s="62">
      <c r="B20" s="70" t="inlineStr">
        <is>
          <t xml:space="preserve">  6.</t>
        </is>
      </c>
      <c r="C20" s="71" t="inlineStr">
        <is>
          <t>Ganztaegig setzen - In Spalte J "Ja" waehlen, wenn der Termin den ganzen Tag dauert.</t>
        </is>
      </c>
    </row>
    <row r="22" ht="22" customHeight="1" s="62">
      <c r="B22" s="68" t="inlineStr">
        <is>
          <t>Spalten des Terminplans</t>
        </is>
      </c>
    </row>
    <row r="23" ht="18" customHeight="1" s="62">
      <c r="B23" s="72" t="inlineStr">
        <is>
          <t>Spalte</t>
        </is>
      </c>
      <c r="C23" s="72" t="inlineStr">
        <is>
          <t>Bedeutung und Beispiel</t>
        </is>
      </c>
    </row>
    <row r="24" ht="18" customHeight="1" s="62">
      <c r="B24" s="73" t="inlineStr">
        <is>
          <t>D  Schulwoche</t>
        </is>
      </c>
      <c r="C24" s="73" t="inlineStr">
        <is>
          <t>Wird automatisch berechnet - NICHT bearbeiten! (z.B. "25.08. - 29.08.2025")</t>
        </is>
      </c>
    </row>
    <row r="25" ht="18" customHeight="1" s="62">
      <c r="B25" s="74" t="inlineStr">
        <is>
          <t>E  Wochentag</t>
        </is>
      </c>
      <c r="C25" s="74" t="inlineStr">
        <is>
          <t>Dropdown: Mo / Di / Mi / Do / Fr / Ganze Woche</t>
        </is>
      </c>
    </row>
    <row r="26" ht="18" customHeight="1" s="62">
      <c r="B26" s="73" t="inlineStr">
        <is>
          <t>F  Uhrzeit</t>
        </is>
      </c>
      <c r="C26" s="73" t="inlineStr">
        <is>
          <t>Startzeit (Format: 09:30). Leer lassen wenn ganztaegig.</t>
        </is>
      </c>
    </row>
    <row r="27" ht="18" customHeight="1" s="62">
      <c r="B27" s="74" t="inlineStr">
        <is>
          <t>G  Endzeit</t>
        </is>
      </c>
      <c r="C27" s="74" t="inlineStr">
        <is>
          <t>Endzeit (Format: 11:00). Optional.</t>
        </is>
      </c>
    </row>
    <row r="28" ht="18" customHeight="1" s="62">
      <c r="B28" s="73" t="inlineStr">
        <is>
          <t>H  Titel</t>
        </is>
      </c>
      <c r="C28" s="73" t="inlineStr">
        <is>
          <t>Bezeichnung des Termins - Pflichtfeld! (z.B. "Lehrerkonferenz")</t>
        </is>
      </c>
    </row>
    <row r="29" ht="18" customHeight="1" s="62">
      <c r="B29" s="74" t="inlineStr">
        <is>
          <t>I  Kategorie</t>
        </is>
      </c>
      <c r="C29" s="74" t="inlineStr">
        <is>
          <t>Dropdown: eine der 7 Kategorien auswaehlen</t>
        </is>
      </c>
    </row>
    <row r="30" ht="18" customHeight="1" s="62">
      <c r="B30" s="73" t="inlineStr">
        <is>
          <t>J  Ganztaegig</t>
        </is>
      </c>
      <c r="C30" s="73" t="inlineStr">
        <is>
          <t>Dropdown: "Ja" wenn kein fester Zeitraum</t>
        </is>
      </c>
    </row>
    <row r="31" ht="18" customHeight="1" s="62">
      <c r="B31" s="74" t="inlineStr">
        <is>
          <t>K  Anmerkung</t>
        </is>
      </c>
      <c r="C31" s="74" t="inlineStr">
        <is>
          <t>Optionaler Hinweistext (z.B. "Bitte alle Lehrkraefte")</t>
        </is>
      </c>
    </row>
    <row r="33" ht="22" customHeight="1" s="62">
      <c r="B33" s="68" t="inlineStr">
        <is>
          <t>Wichtige Hinweise</t>
        </is>
      </c>
    </row>
    <row r="34" ht="20" customHeight="1" s="62">
      <c r="B34" s="75" t="inlineStr">
        <is>
          <t>&gt;&gt; Graue Header-Zeilen markieren den Wochenbeginn - dort NICHTS eintragen!</t>
        </is>
      </c>
    </row>
    <row r="35" ht="20" customHeight="1" s="62">
      <c r="B35" s="75" t="inlineStr">
        <is>
          <t>&gt;&gt; Spalten A, B, C sind ausgeblendet (technische Daten) - nicht einblenden.</t>
        </is>
      </c>
    </row>
    <row r="36" ht="20" customHeight="1" s="62">
      <c r="B36" s="75" t="inlineStr">
        <is>
          <t>&gt;&gt; Spalte D wird automatisch berechnet - nicht bearbeiten.</t>
        </is>
      </c>
    </row>
    <row r="37" ht="20" customHeight="1" s="62">
      <c r="B37" s="75" t="inlineStr">
        <is>
          <t>&gt;&gt; Ferientermine zuerst im Tab "Ferien" eintragen - danach passen sich alle Daten an.</t>
        </is>
      </c>
    </row>
    <row r="38" ht="20" customHeight="1" s="62">
      <c r="B38" s="75" t="inlineStr">
        <is>
          <t>&gt;&gt; Aenderungen im laufenden Schuljahr: direkt im IServ-Kalender bearbeiten.</t>
        </is>
      </c>
    </row>
    <row r="40" ht="22" customHeight="1" s="62">
      <c r="B40" s="68" t="inlineStr">
        <is>
          <t>Verfuegbare Kategorien</t>
        </is>
      </c>
    </row>
    <row r="41" ht="18" customHeight="1" s="62">
      <c r="B41" s="76" t="inlineStr">
        <is>
          <t>Jahrgang 5/6</t>
        </is>
      </c>
      <c r="C41" s="77" t="inlineStr">
        <is>
          <t>Einschulung, Sprachstandstest, Neue 5er</t>
        </is>
      </c>
    </row>
    <row r="42" ht="18" customHeight="1" s="62">
      <c r="B42" s="78" t="inlineStr">
        <is>
          <t>Jahrgang 7/8</t>
        </is>
      </c>
      <c r="C42" s="77" t="inlineStr">
        <is>
          <t>Potenzialanalyse, WP-Wahl, KAoA</t>
        </is>
      </c>
    </row>
    <row r="43" ht="18" customHeight="1" s="62">
      <c r="B43" s="79" t="inlineStr">
        <is>
          <t>Jahrgang 9/10</t>
        </is>
      </c>
      <c r="C43" s="77" t="inlineStr">
        <is>
          <t>Betriebspraktikum, ZP 10, Abschlussfahrt</t>
        </is>
      </c>
    </row>
    <row r="44" ht="18" customHeight="1" s="62">
      <c r="B44" s="80" t="inlineStr">
        <is>
          <t>Oberstufe</t>
        </is>
      </c>
      <c r="C44" s="77" t="inlineStr">
        <is>
          <t>Abitur, EF/Q1/Q2 Termine</t>
        </is>
      </c>
    </row>
    <row r="45" ht="18" customHeight="1" s="62">
      <c r="B45" s="81" t="inlineStr">
        <is>
          <t>Inklusion</t>
        </is>
      </c>
      <c r="C45" s="77" t="inlineStr">
        <is>
          <t>IFOe, AL SuS, Inklusionsteam</t>
        </is>
      </c>
    </row>
    <row r="46" ht="18" customHeight="1" s="62">
      <c r="B46" s="82" t="inlineStr">
        <is>
          <t>Feiertage/Ferien</t>
        </is>
      </c>
      <c r="C46" s="77" t="inlineStr">
        <is>
          <t>Ferien, Feiertage, schulfreie Tage</t>
        </is>
      </c>
    </row>
    <row r="47" ht="18" customHeight="1" s="62">
      <c r="B47" s="83" t="inlineStr">
        <is>
          <t>Konferenzen/DB</t>
        </is>
      </c>
      <c r="C47" s="77" t="inlineStr">
        <is>
          <t>Lehrerkonferenz, FaKo, Teamgespraeche</t>
        </is>
      </c>
    </row>
    <row r="50">
      <c r="B50" s="84" t="inlineStr">
        <is>
          <t>Bei Fragen: IT-Beauftragter der Gesamtschule Horst</t>
        </is>
      </c>
    </row>
  </sheetData>
  <mergeCells count="7">
    <mergeCell ref="B38:C38"/>
    <mergeCell ref="B37:C37"/>
    <mergeCell ref="B34:C34"/>
    <mergeCell ref="B36:C36"/>
    <mergeCell ref="B50:C50"/>
    <mergeCell ref="B35:C35"/>
    <mergeCell ref="B4:C4"/>
  </mergeCells>
  <pageMargins left="0.75" right="0.75" top="1" bottom="1" header="0.5" footer="0.5"/>
</worksheet>
</file>

<file path=xl/worksheets/sheet2.xml><?xml version="1.0" encoding="utf-8"?>
<worksheet xmlns="http://schemas.openxmlformats.org/spreadsheetml/2006/main">
  <sheetPr>
    <tabColor rgb="FF70AD47"/>
    <outlinePr summaryBelow="1" summaryRight="1"/>
    <pageSetUpPr/>
  </sheetPr>
  <dimension ref="B2:C50"/>
  <sheetViews>
    <sheetView showGridLines="0" topLeftCell="A12" workbookViewId="0">
      <selection activeCell="A1" sqref="A1"/>
    </sheetView>
  </sheetViews>
  <sheetFormatPr baseColWidth="10" defaultColWidth="8.7265625" defaultRowHeight="14.5"/>
  <cols>
    <col width="3" customWidth="1" style="62" min="1" max="1"/>
    <col width="35" customWidth="1" style="62" min="2" max="2"/>
    <col width="58" customWidth="1" style="62" min="3" max="3"/>
    <col width="3" customWidth="1" style="62" min="4" max="4"/>
  </cols>
  <sheetData>
    <row r="2" ht="32" customHeight="1" s="62">
      <c r="B2" s="14" t="inlineStr">
        <is>
          <t>GSH Schuljahreskalender - Anleitung</t>
        </is>
      </c>
    </row>
    <row r="4" ht="18" customHeight="1" s="62">
      <c r="B4" s="64" t="inlineStr">
        <is>
          <t>Was ist das?</t>
        </is>
      </c>
    </row>
    <row r="5" ht="29" customHeight="1" s="62">
      <c r="B5" s="16" t="inlineStr">
        <is>
          <t>dem Konverter-Tool zu einer ICS-Datei und importierst sie in IServ.</t>
        </is>
      </c>
    </row>
    <row r="6" ht="22" customHeight="1" s="62">
      <c r="B6" s="64" t="inlineStr">
        <is>
          <t>Gesamter Ablauf (einmal pro Schuljahr)</t>
        </is>
      </c>
    </row>
    <row r="7" ht="22" customHeight="1" s="62">
      <c r="B7" s="17" t="inlineStr">
        <is>
          <t xml:space="preserve">  1.</t>
        </is>
      </c>
      <c r="C7" s="18" t="inlineStr">
        <is>
          <t>Ferien eintragen - Tab "Ferien" oeffnen und Ferientermine fuer das neue Schuljahr eintragen.</t>
        </is>
      </c>
    </row>
    <row r="8" ht="22" customHeight="1" s="62">
      <c r="B8" s="17" t="inlineStr">
        <is>
          <t xml:space="preserve">  2.</t>
        </is>
      </c>
      <c r="C8" s="18" t="inlineStr">
        <is>
          <t>Termine eintragen - Tab "Terminplan" oeffnen und alle Schultermine eintragen.</t>
        </is>
      </c>
    </row>
    <row r="9" ht="22" customHeight="1" s="62">
      <c r="B9" s="17" t="inlineStr">
        <is>
          <t xml:space="preserve">  3.</t>
        </is>
      </c>
      <c r="C9" s="18" t="inlineStr">
        <is>
          <t>Konverter oeffnen - Datei GSH_Terminplan_Konverter.html im Browser oeffnen (Chrome empfohlen).</t>
        </is>
      </c>
    </row>
    <row r="10" ht="22" customHeight="1" s="62">
      <c r="B10" s="17" t="inlineStr">
        <is>
          <t xml:space="preserve">  4.</t>
        </is>
      </c>
      <c r="C10" s="18" t="inlineStr">
        <is>
          <t>Excel importieren - Diese Excel-Datei in das Konverter-Tool ziehen.</t>
        </is>
      </c>
    </row>
    <row r="11" ht="22" customHeight="1" s="62">
      <c r="B11" s="17" t="inlineStr">
        <is>
          <t xml:space="preserve">  5.</t>
        </is>
      </c>
      <c r="C11" s="18" t="inlineStr">
        <is>
          <t>ICS herunterladen - Auf "ICS herunterladen" klicken. Datei wird im Download-Ordner gespeichert.</t>
        </is>
      </c>
    </row>
    <row r="12" ht="22" customHeight="1" s="62">
      <c r="B12" s="17" t="inlineStr">
        <is>
          <t xml:space="preserve">  6.</t>
        </is>
      </c>
      <c r="C12" s="18" t="inlineStr">
        <is>
          <t>ICS in IServ importieren - In IServ -&gt; Kalender -&gt; Einstellungen -&gt; Importieren -&gt; ICS-Datei auswaehlen.</t>
        </is>
      </c>
    </row>
    <row r="14" ht="22" customHeight="1" s="62">
      <c r="B14" s="64" t="inlineStr">
        <is>
          <t>So traegst du Termine ein (Tab "Terminplan")</t>
        </is>
      </c>
    </row>
    <row r="15" ht="22" customHeight="1" s="62">
      <c r="B15" s="17" t="inlineStr">
        <is>
          <t xml:space="preserve">  1.</t>
        </is>
      </c>
      <c r="C15" s="18" t="inlineStr">
        <is>
          <t>Schulwoche finden - Spalte D zeigt die Woche (z.B. "25.08. - 29.08.2025"). Richtige Woche suchen.</t>
        </is>
      </c>
    </row>
    <row r="16" ht="22" customHeight="1" s="62">
      <c r="B16" s="17" t="inlineStr">
        <is>
          <t xml:space="preserve">  2.</t>
        </is>
      </c>
      <c r="C16" s="18" t="inlineStr">
        <is>
          <t>Wochentag waehlen - In Spalte E klicken - Dropdown erscheint (Mo / Di / Mi / Do / Fr / Ganze Woche).</t>
        </is>
      </c>
    </row>
    <row r="17" ht="22" customHeight="1" s="62">
      <c r="B17" s="17" t="inlineStr">
        <is>
          <t xml:space="preserve">  3.</t>
        </is>
      </c>
      <c r="C17" s="18" t="inlineStr">
        <is>
          <t>Uhrzeit eintragen - Start- und Endzeit in Spalte F/G eintragen (Format: 08:30). Leer = ganztaegig.</t>
        </is>
      </c>
    </row>
    <row r="18" ht="22" customHeight="1" s="62">
      <c r="B18" s="17" t="inlineStr">
        <is>
          <t xml:space="preserve">  4.</t>
        </is>
      </c>
      <c r="C18" s="18" t="inlineStr">
        <is>
          <t>Titel eintragen - Bezeichnung des Termins in Spalte H eintragen (Pflichtfeld).</t>
        </is>
      </c>
    </row>
    <row r="19" ht="22" customHeight="1" s="62">
      <c r="B19" s="17" t="inlineStr">
        <is>
          <t xml:space="preserve">  5.</t>
        </is>
      </c>
      <c r="C19" s="18" t="inlineStr">
        <is>
          <t>Kategorie waehlen - In Spalte I klicken - Dropdown mit allen Kategorien erscheint.</t>
        </is>
      </c>
    </row>
    <row r="20" ht="22" customHeight="1" s="62">
      <c r="B20" s="17" t="inlineStr">
        <is>
          <t xml:space="preserve">  6.</t>
        </is>
      </c>
      <c r="C20" s="18" t="inlineStr">
        <is>
          <t>Ganztaegig setzen - In Spalte J "Ja" waehlen, wenn der Termin den ganzen Tag dauert.</t>
        </is>
      </c>
    </row>
    <row r="22" ht="22" customHeight="1" s="62">
      <c r="B22" s="64" t="inlineStr">
        <is>
          <t>Spalten des Terminplans</t>
        </is>
      </c>
    </row>
    <row r="23" ht="18" customHeight="1" s="62">
      <c r="B23" s="19" t="inlineStr">
        <is>
          <t>Spalte</t>
        </is>
      </c>
      <c r="C23" s="19" t="inlineStr">
        <is>
          <t>Bedeutung und Beispiel</t>
        </is>
      </c>
    </row>
    <row r="24" ht="18" customHeight="1" s="62">
      <c r="B24" s="20" t="inlineStr">
        <is>
          <t>D  Schulwoche</t>
        </is>
      </c>
      <c r="C24" s="20" t="inlineStr">
        <is>
          <t>Wird automatisch berechnet - NICHT bearbeiten! (z.B. "25.08. - 29.08.2025")</t>
        </is>
      </c>
    </row>
    <row r="25" ht="18" customHeight="1" s="62">
      <c r="B25" s="21" t="inlineStr">
        <is>
          <t>E  Wochentag</t>
        </is>
      </c>
      <c r="C25" s="21" t="inlineStr">
        <is>
          <t>Dropdown: Mo / Di / Mi / Do / Fr / Ganze Woche</t>
        </is>
      </c>
    </row>
    <row r="26" ht="18" customHeight="1" s="62">
      <c r="B26" s="20" t="inlineStr">
        <is>
          <t>F  Uhrzeit</t>
        </is>
      </c>
      <c r="C26" s="20" t="inlineStr">
        <is>
          <t>Startzeit (Format: 09:30). Leer lassen wenn ganztaegig.</t>
        </is>
      </c>
    </row>
    <row r="27" ht="18" customHeight="1" s="62">
      <c r="B27" s="21" t="inlineStr">
        <is>
          <t>G  Endzeit</t>
        </is>
      </c>
      <c r="C27" s="21" t="inlineStr">
        <is>
          <t>Endzeit (Format: 11:00). Optional.</t>
        </is>
      </c>
    </row>
    <row r="28" ht="18" customHeight="1" s="62">
      <c r="B28" s="20" t="inlineStr">
        <is>
          <t>H  Titel</t>
        </is>
      </c>
      <c r="C28" s="20" t="inlineStr">
        <is>
          <t>Bezeichnung des Termins - Pflichtfeld! (z.B. "Lehrerkonferenz")</t>
        </is>
      </c>
    </row>
    <row r="29" ht="18" customHeight="1" s="62">
      <c r="B29" s="21" t="inlineStr">
        <is>
          <t>I  Kategorie</t>
        </is>
      </c>
      <c r="C29" s="21" t="inlineStr">
        <is>
          <t>Dropdown: eine der 7 Kategorien auswaehlen</t>
        </is>
      </c>
    </row>
    <row r="30" ht="18" customHeight="1" s="62">
      <c r="B30" s="20" t="inlineStr">
        <is>
          <t>J  Ganztaegig</t>
        </is>
      </c>
      <c r="C30" s="20" t="inlineStr">
        <is>
          <t>Dropdown: "Ja" wenn kein fester Zeitraum</t>
        </is>
      </c>
    </row>
    <row r="31" ht="18" customHeight="1" s="62">
      <c r="B31" s="21" t="inlineStr">
        <is>
          <t>K  Anmerkung</t>
        </is>
      </c>
      <c r="C31" s="21" t="inlineStr">
        <is>
          <t>Optionaler Hinweistext (z.B. "Bitte alle Lehrkraefte")</t>
        </is>
      </c>
    </row>
    <row r="33" ht="22" customHeight="1" s="62">
      <c r="B33" s="64" t="inlineStr">
        <is>
          <t>Wichtige Hinweise</t>
        </is>
      </c>
    </row>
    <row r="34" ht="20" customHeight="1" s="62">
      <c r="B34" s="61" t="inlineStr">
        <is>
          <t>&gt;&gt; Graue Header-Zeilen markieren den Wochenbeginn - dort NICHTS eintragen!</t>
        </is>
      </c>
    </row>
    <row r="35" ht="20" customHeight="1" s="62">
      <c r="B35" s="61" t="inlineStr">
        <is>
          <t>&gt;&gt; Spalten A, B, C sind ausgeblendet (technische Daten) - nicht einblenden.</t>
        </is>
      </c>
    </row>
    <row r="36" ht="20" customHeight="1" s="62">
      <c r="B36" s="61" t="inlineStr">
        <is>
          <t>&gt;&gt; Spalte D wird automatisch berechnet - nicht bearbeiten.</t>
        </is>
      </c>
    </row>
    <row r="37" ht="20" customHeight="1" s="62">
      <c r="B37" s="61" t="inlineStr">
        <is>
          <t>&gt;&gt; Ferientermine zuerst im Tab "Ferien" eintragen - danach passen sich alle Daten an.</t>
        </is>
      </c>
    </row>
    <row r="38" ht="20" customHeight="1" s="62">
      <c r="B38" s="61" t="inlineStr">
        <is>
          <t>&gt;&gt; Aenderungen im laufenden Schuljahr: direkt im IServ-Kalender bearbeiten.</t>
        </is>
      </c>
    </row>
    <row r="40" ht="22" customHeight="1" s="62">
      <c r="B40" s="64" t="inlineStr">
        <is>
          <t>Verfuegbare Kategorien</t>
        </is>
      </c>
    </row>
    <row r="41" ht="18" customHeight="1" s="62">
      <c r="B41" s="22" t="inlineStr">
        <is>
          <t>Jahrgang 5/6</t>
        </is>
      </c>
      <c r="C41" s="23" t="inlineStr">
        <is>
          <t>Einschulung, Sprachstandstest, Neue 5er</t>
        </is>
      </c>
    </row>
    <row r="42" ht="18" customHeight="1" s="62">
      <c r="B42" s="24" t="inlineStr">
        <is>
          <t>Jahrgang 7/8</t>
        </is>
      </c>
      <c r="C42" s="23" t="inlineStr">
        <is>
          <t>Potenzialanalyse, WP-Wahl, KAoA</t>
        </is>
      </c>
    </row>
    <row r="43" ht="18" customHeight="1" s="62">
      <c r="B43" s="25" t="inlineStr">
        <is>
          <t>Jahrgang 9/10</t>
        </is>
      </c>
      <c r="C43" s="23" t="inlineStr">
        <is>
          <t>Betriebspraktikum, ZP 10, Abschlussfahrt</t>
        </is>
      </c>
    </row>
    <row r="44" ht="18" customHeight="1" s="62">
      <c r="B44" s="26" t="inlineStr">
        <is>
          <t>Oberstufe</t>
        </is>
      </c>
      <c r="C44" s="23" t="inlineStr">
        <is>
          <t>Abitur, EF/Q1/Q2 Termine</t>
        </is>
      </c>
    </row>
    <row r="45" ht="18" customHeight="1" s="62">
      <c r="B45" s="27" t="inlineStr">
        <is>
          <t>Inklusion</t>
        </is>
      </c>
      <c r="C45" s="23" t="inlineStr">
        <is>
          <t>IFOe, AL SuS, Inklusionsteam</t>
        </is>
      </c>
    </row>
    <row r="46" ht="18" customHeight="1" s="62">
      <c r="B46" s="28" t="inlineStr">
        <is>
          <t>Feiertage/Ferien</t>
        </is>
      </c>
      <c r="C46" s="23" t="inlineStr">
        <is>
          <t>Ferien, Feiertage, schulfreie Tage</t>
        </is>
      </c>
    </row>
    <row r="47" ht="18" customHeight="1" s="62">
      <c r="B47" s="29" t="inlineStr">
        <is>
          <t>Konferenzen/DB</t>
        </is>
      </c>
      <c r="C47" s="23" t="inlineStr">
        <is>
          <t>Lehrerkonferenz, FaKo, Teamgespraeche</t>
        </is>
      </c>
    </row>
    <row r="50">
      <c r="B50" s="63" t="inlineStr">
        <is>
          <t>Bei Fragen: IT-Beauftragter der Gesamtschule Horst</t>
        </is>
      </c>
    </row>
  </sheetData>
  <mergeCells count="7">
    <mergeCell ref="B38:C38"/>
    <mergeCell ref="B37:C37"/>
    <mergeCell ref="B34:C34"/>
    <mergeCell ref="B36:C36"/>
    <mergeCell ref="B50:C50"/>
    <mergeCell ref="B35:C35"/>
    <mergeCell ref="B4:C4"/>
  </mergeCells>
  <pageMargins left="0.75" right="0.75" top="1" bottom="1" header="0.5" footer="0.5"/>
</worksheet>
</file>

<file path=xl/worksheets/sheet3.xml><?xml version="1.0" encoding="utf-8"?>
<worksheet xmlns="http://schemas.openxmlformats.org/spreadsheetml/2006/main">
  <sheetPr>
    <tabColor rgb="002F5496"/>
    <outlinePr summaryBelow="1" summaryRight="1"/>
    <pageSetUpPr fitToPage="1"/>
  </sheetPr>
  <dimension ref="A1:K375"/>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heetView>
  </sheetViews>
  <sheetFormatPr baseColWidth="10" defaultColWidth="8.7265625" defaultRowHeight="14.5"/>
  <cols>
    <col hidden="1" width="5" customWidth="1" style="62" min="1" max="1"/>
    <col hidden="1" width="12" customWidth="1" style="62" min="2" max="2"/>
    <col hidden="1" width="7" customWidth="1" style="62" min="3" max="3"/>
    <col width="24" customWidth="1" style="62" min="4" max="4"/>
    <col width="14" customWidth="1" style="62" min="5" max="5"/>
    <col width="9" customWidth="1" style="62" min="6" max="7"/>
    <col width="9" customWidth="1" style="62" min="7" max="7"/>
    <col width="40" customWidth="1" style="62" min="8" max="8"/>
    <col width="18" customWidth="1" style="62" min="9" max="9"/>
    <col width="10" customWidth="1" style="62" min="10" max="10"/>
    <col width="28" customWidth="1" style="62" min="11" max="11"/>
  </cols>
  <sheetData>
    <row r="1" ht="22" customHeight="1" s="62">
      <c r="A1" s="1" t="inlineStr">
        <is>
          <t>SW-Key</t>
        </is>
      </c>
      <c r="B1" s="1" t="inlineStr">
        <is>
          <t>Montag-ISO</t>
        </is>
      </c>
      <c r="C1" s="1" t="inlineStr">
        <is>
          <t>SW</t>
        </is>
      </c>
      <c r="D1" s="85" t="inlineStr">
        <is>
          <t>Schulwoche</t>
        </is>
      </c>
      <c r="E1" s="85" t="inlineStr">
        <is>
          <t>Wochentag</t>
        </is>
      </c>
      <c r="F1" s="85" t="inlineStr">
        <is>
          <t>Uhrzeit</t>
        </is>
      </c>
      <c r="G1" s="85" t="inlineStr">
        <is>
          <t>Endzeit</t>
        </is>
      </c>
      <c r="H1" s="85" t="inlineStr">
        <is>
          <t>Titel / Veranstaltung</t>
        </is>
      </c>
      <c r="I1" s="85" t="inlineStr">
        <is>
          <t>Kategorie</t>
        </is>
      </c>
      <c r="J1" s="85" t="inlineStr">
        <is>
          <t>Ganztaegig</t>
        </is>
      </c>
      <c r="K1" s="85" t="inlineStr">
        <is>
          <t>Anmerkung</t>
        </is>
      </c>
    </row>
    <row r="2" ht="18" customHeight="1" s="62">
      <c r="A2" s="2" t="inlineStr">
        <is>
          <t>SW 00</t>
        </is>
      </c>
      <c r="B2" s="11">
        <f>Ferien!$F$15</f>
        <v/>
      </c>
      <c r="C2" s="3" t="inlineStr">
        <is>
          <t>SW 00</t>
        </is>
      </c>
      <c r="D2" s="86">
        <f>TEXT(B2,"TT.MM.")&amp;" – "&amp;TEXT(B2+4,"TT.MM.JJJJ")</f>
        <v/>
      </c>
      <c r="E2" s="87" t="n"/>
      <c r="F2" s="87" t="n"/>
      <c r="G2" s="87" t="n"/>
      <c r="H2" s="87" t="n"/>
      <c r="I2" s="87" t="n"/>
      <c r="J2" s="87" t="n"/>
      <c r="K2" s="87" t="n"/>
    </row>
    <row r="3" ht="18" customHeight="1" s="62">
      <c r="A3" s="4" t="n"/>
      <c r="B3" s="4" t="n"/>
      <c r="C3" s="4" t="n"/>
      <c r="D3" s="88" t="n"/>
      <c r="E3" s="88" t="n"/>
      <c r="F3" s="88" t="n"/>
      <c r="G3" s="88" t="n"/>
      <c r="H3" s="89" t="n"/>
      <c r="I3" s="88" t="n"/>
      <c r="J3" s="88" t="n"/>
      <c r="K3" s="88" t="n"/>
    </row>
    <row r="4" ht="18" customHeight="1" s="62">
      <c r="A4" s="5" t="n"/>
      <c r="B4" s="5" t="n"/>
      <c r="C4" s="5" t="n"/>
      <c r="D4" s="90" t="n"/>
      <c r="E4" s="90" t="n"/>
      <c r="F4" s="90" t="n"/>
      <c r="G4" s="90" t="n"/>
      <c r="H4" s="91" t="n"/>
      <c r="I4" s="90" t="n"/>
      <c r="J4" s="90" t="n"/>
      <c r="K4" s="90" t="n"/>
    </row>
    <row r="5" ht="18" customHeight="1" s="62">
      <c r="A5" s="4" t="n"/>
      <c r="B5" s="4" t="n"/>
      <c r="C5" s="4" t="n"/>
      <c r="D5" s="88" t="n"/>
      <c r="E5" s="88" t="n"/>
      <c r="F5" s="88" t="n"/>
      <c r="G5" s="88" t="n"/>
      <c r="H5" s="89" t="n"/>
      <c r="I5" s="88" t="n"/>
      <c r="J5" s="88" t="n"/>
      <c r="K5" s="88" t="n"/>
    </row>
    <row r="6" ht="18" customHeight="1" s="62">
      <c r="A6" s="5" t="n"/>
      <c r="B6" s="5" t="n"/>
      <c r="C6" s="5" t="n"/>
      <c r="D6" s="90" t="n"/>
      <c r="E6" s="90" t="n"/>
      <c r="F6" s="90" t="n"/>
      <c r="G6" s="90" t="n"/>
      <c r="H6" s="91" t="n"/>
      <c r="I6" s="90" t="n"/>
      <c r="J6" s="90" t="n"/>
      <c r="K6" s="90" t="n"/>
    </row>
    <row r="7" ht="18" customHeight="1" s="62">
      <c r="A7" s="4" t="n"/>
      <c r="B7" s="4" t="n"/>
      <c r="C7" s="4" t="n"/>
      <c r="D7" s="88" t="n"/>
      <c r="E7" s="88" t="n"/>
      <c r="F7" s="88" t="n"/>
      <c r="G7" s="88" t="n"/>
      <c r="H7" s="89" t="n"/>
      <c r="I7" s="88" t="n"/>
      <c r="J7" s="88" t="n"/>
      <c r="K7" s="88" t="n"/>
    </row>
    <row r="8" ht="18" customHeight="1" s="62">
      <c r="A8" s="5" t="n"/>
      <c r="B8" s="5" t="n"/>
      <c r="C8" s="5" t="n"/>
      <c r="D8" s="90" t="n"/>
      <c r="E8" s="90" t="n"/>
      <c r="F8" s="90" t="n"/>
      <c r="G8" s="90" t="n"/>
      <c r="H8" s="91" t="n"/>
      <c r="I8" s="90" t="n"/>
      <c r="J8" s="90" t="n"/>
      <c r="K8" s="90" t="n"/>
    </row>
    <row r="9" ht="18" customHeight="1" s="62">
      <c r="A9" s="4" t="n"/>
      <c r="B9" s="4" t="n"/>
      <c r="C9" s="4" t="n"/>
      <c r="D9" s="88" t="n"/>
      <c r="E9" s="88" t="n"/>
      <c r="F9" s="88" t="n"/>
      <c r="G9" s="88" t="n"/>
      <c r="H9" s="89" t="n"/>
      <c r="I9" s="88" t="n"/>
      <c r="J9" s="88" t="n"/>
      <c r="K9" s="88" t="n"/>
    </row>
    <row r="10" ht="18" customHeight="1" s="62">
      <c r="A10" s="5" t="n"/>
      <c r="B10" s="5" t="n"/>
      <c r="C10" s="5" t="n"/>
      <c r="D10" s="90" t="n"/>
      <c r="E10" s="90" t="n"/>
      <c r="F10" s="90" t="n"/>
      <c r="G10" s="90" t="n"/>
      <c r="H10" s="91" t="n"/>
      <c r="I10" s="90" t="n"/>
      <c r="J10" s="90" t="n"/>
      <c r="K10" s="90" t="n"/>
    </row>
    <row r="11" ht="18" customHeight="1" s="62">
      <c r="A11" s="2" t="inlineStr">
        <is>
          <t>SW 01</t>
        </is>
      </c>
      <c r="B11" s="11">
        <f>Ferien!$F$16</f>
        <v/>
      </c>
      <c r="C11" s="3" t="inlineStr">
        <is>
          <t>SW 01</t>
        </is>
      </c>
      <c r="D11" s="86">
        <f>TEXT(B11,"TT.MM.")&amp;" – "&amp;TEXT(B11+4,"TT.MM.JJJJ")</f>
        <v/>
      </c>
      <c r="E11" s="87" t="n"/>
      <c r="F11" s="87" t="n"/>
      <c r="G11" s="87" t="n"/>
      <c r="H11" s="87" t="n"/>
      <c r="I11" s="87" t="n"/>
      <c r="J11" s="87" t="n"/>
      <c r="K11" s="87" t="n"/>
    </row>
    <row r="12" ht="18" customHeight="1" s="62">
      <c r="A12" s="4" t="n"/>
      <c r="B12" s="4" t="n"/>
      <c r="C12" s="4" t="n"/>
      <c r="D12" s="90" t="n"/>
      <c r="E12" s="90" t="n"/>
      <c r="F12" s="90" t="n"/>
      <c r="G12" s="90" t="n"/>
      <c r="H12" s="91" t="n"/>
      <c r="I12" s="90" t="n"/>
      <c r="J12" s="90" t="n"/>
      <c r="K12" s="90" t="n"/>
    </row>
    <row r="13" ht="18" customHeight="1" s="62">
      <c r="A13" s="5" t="n"/>
      <c r="B13" s="5" t="n"/>
      <c r="C13" s="5" t="n"/>
      <c r="D13" s="88" t="n"/>
      <c r="E13" s="88" t="n"/>
      <c r="F13" s="88" t="n"/>
      <c r="G13" s="88" t="n"/>
      <c r="H13" s="89" t="n"/>
      <c r="I13" s="88" t="n"/>
      <c r="J13" s="88" t="n"/>
      <c r="K13" s="88" t="n"/>
    </row>
    <row r="14" ht="18" customHeight="1" s="62">
      <c r="A14" s="4" t="n"/>
      <c r="B14" s="4" t="n"/>
      <c r="C14" s="4" t="n"/>
      <c r="D14" s="90" t="n"/>
      <c r="E14" s="90" t="n"/>
      <c r="F14" s="90" t="n"/>
      <c r="G14" s="90" t="n"/>
      <c r="H14" s="91" t="n"/>
      <c r="I14" s="90" t="n"/>
      <c r="J14" s="90" t="n"/>
      <c r="K14" s="90" t="n"/>
    </row>
    <row r="15" ht="18" customHeight="1" s="62">
      <c r="A15" s="5" t="n"/>
      <c r="B15" s="5" t="n"/>
      <c r="C15" s="5" t="n"/>
      <c r="D15" s="88" t="n"/>
      <c r="E15" s="88" t="n"/>
      <c r="F15" s="88" t="n"/>
      <c r="G15" s="88" t="n"/>
      <c r="H15" s="89" t="n"/>
      <c r="I15" s="88" t="n"/>
      <c r="J15" s="88" t="n"/>
      <c r="K15" s="88" t="n"/>
    </row>
    <row r="16" ht="18" customHeight="1" s="62">
      <c r="A16" s="4" t="n"/>
      <c r="B16" s="4" t="n"/>
      <c r="C16" s="4" t="n"/>
      <c r="D16" s="90" t="n"/>
      <c r="E16" s="90" t="n"/>
      <c r="F16" s="90" t="n"/>
      <c r="G16" s="90" t="n"/>
      <c r="H16" s="91" t="n"/>
      <c r="I16" s="90" t="n"/>
      <c r="J16" s="90" t="n"/>
      <c r="K16" s="90" t="n"/>
    </row>
    <row r="17" ht="18" customHeight="1" s="62">
      <c r="A17" s="5" t="n"/>
      <c r="B17" s="5" t="n"/>
      <c r="C17" s="5" t="n"/>
      <c r="D17" s="88" t="n"/>
      <c r="E17" s="88" t="n"/>
      <c r="F17" s="88" t="n"/>
      <c r="G17" s="88" t="n"/>
      <c r="H17" s="89" t="n"/>
      <c r="I17" s="88" t="n"/>
      <c r="J17" s="88" t="n"/>
      <c r="K17" s="88" t="n"/>
    </row>
    <row r="18" ht="18" customHeight="1" s="62">
      <c r="A18" s="4" t="n"/>
      <c r="B18" s="4" t="n"/>
      <c r="C18" s="4" t="n"/>
      <c r="D18" s="90" t="n"/>
      <c r="E18" s="90" t="n"/>
      <c r="F18" s="90" t="n"/>
      <c r="G18" s="90" t="n"/>
      <c r="H18" s="91" t="n"/>
      <c r="I18" s="90" t="n"/>
      <c r="J18" s="90" t="n"/>
      <c r="K18" s="90" t="n"/>
    </row>
    <row r="19" ht="18" customHeight="1" s="62">
      <c r="A19" s="5" t="n"/>
      <c r="B19" s="5" t="n"/>
      <c r="C19" s="5" t="n"/>
      <c r="D19" s="88" t="n"/>
      <c r="E19" s="88" t="n"/>
      <c r="F19" s="88" t="n"/>
      <c r="G19" s="88" t="n"/>
      <c r="H19" s="89" t="n"/>
      <c r="I19" s="88" t="n"/>
      <c r="J19" s="88" t="n"/>
      <c r="K19" s="88" t="n"/>
    </row>
    <row r="20" ht="18" customHeight="1" s="62">
      <c r="A20" s="2" t="inlineStr">
        <is>
          <t>SW 02</t>
        </is>
      </c>
      <c r="B20" s="11">
        <f>Ferien!$F$17</f>
        <v/>
      </c>
      <c r="C20" s="3" t="inlineStr">
        <is>
          <t>SW 02</t>
        </is>
      </c>
      <c r="D20" s="86">
        <f>TEXT(B20,"TT.MM.")&amp;" – "&amp;TEXT(B20+4,"TT.MM.JJJJ")</f>
        <v/>
      </c>
      <c r="E20" s="87" t="n"/>
      <c r="F20" s="87" t="n"/>
      <c r="G20" s="87" t="n"/>
      <c r="H20" s="87" t="n"/>
      <c r="I20" s="87" t="n"/>
      <c r="J20" s="87" t="n"/>
      <c r="K20" s="87" t="n"/>
    </row>
    <row r="21" ht="18" customHeight="1" s="62">
      <c r="A21" s="4" t="n"/>
      <c r="B21" s="4" t="n"/>
      <c r="C21" s="4" t="n"/>
      <c r="D21" s="88" t="n"/>
      <c r="E21" s="88" t="n"/>
      <c r="F21" s="88" t="n"/>
      <c r="G21" s="88" t="n"/>
      <c r="H21" s="89" t="n"/>
      <c r="I21" s="88" t="n"/>
      <c r="J21" s="88" t="n"/>
      <c r="K21" s="88" t="n"/>
    </row>
    <row r="22" ht="18" customHeight="1" s="62">
      <c r="A22" s="5" t="n"/>
      <c r="B22" s="5" t="n"/>
      <c r="C22" s="5" t="n"/>
      <c r="D22" s="90" t="n"/>
      <c r="E22" s="90" t="n"/>
      <c r="F22" s="90" t="n"/>
      <c r="G22" s="90" t="n"/>
      <c r="H22" s="91" t="n"/>
      <c r="I22" s="90" t="n"/>
      <c r="J22" s="90" t="n"/>
      <c r="K22" s="90" t="n"/>
    </row>
    <row r="23" ht="18" customHeight="1" s="62">
      <c r="A23" s="4" t="n"/>
      <c r="B23" s="4" t="n"/>
      <c r="C23" s="4" t="n"/>
      <c r="D23" s="88" t="n"/>
      <c r="E23" s="88" t="n"/>
      <c r="F23" s="88" t="n"/>
      <c r="G23" s="88" t="n"/>
      <c r="H23" s="89" t="n"/>
      <c r="I23" s="88" t="n"/>
      <c r="J23" s="88" t="n"/>
      <c r="K23" s="88" t="n"/>
    </row>
    <row r="24" ht="18" customHeight="1" s="62">
      <c r="A24" s="5" t="n"/>
      <c r="B24" s="5" t="n"/>
      <c r="C24" s="5" t="n"/>
      <c r="D24" s="90" t="n"/>
      <c r="E24" s="90" t="n"/>
      <c r="F24" s="90" t="n"/>
      <c r="G24" s="90" t="n"/>
      <c r="H24" s="91" t="n"/>
      <c r="I24" s="90" t="n"/>
      <c r="J24" s="90" t="n"/>
      <c r="K24" s="90" t="n"/>
    </row>
    <row r="25" ht="18" customHeight="1" s="62">
      <c r="A25" s="4" t="n"/>
      <c r="B25" s="4" t="n"/>
      <c r="C25" s="4" t="n"/>
      <c r="D25" s="88" t="n"/>
      <c r="E25" s="88" t="n"/>
      <c r="F25" s="88" t="n"/>
      <c r="G25" s="88" t="n"/>
      <c r="H25" s="89" t="n"/>
      <c r="I25" s="88" t="n"/>
      <c r="J25" s="88" t="n"/>
      <c r="K25" s="88" t="n"/>
    </row>
    <row r="26" ht="18" customHeight="1" s="62">
      <c r="A26" s="5" t="n"/>
      <c r="B26" s="5" t="n"/>
      <c r="C26" s="5" t="n"/>
      <c r="D26" s="90" t="n"/>
      <c r="E26" s="90" t="n"/>
      <c r="F26" s="90" t="n"/>
      <c r="G26" s="90" t="n"/>
      <c r="H26" s="91" t="n"/>
      <c r="I26" s="90" t="n"/>
      <c r="J26" s="90" t="n"/>
      <c r="K26" s="90" t="n"/>
    </row>
    <row r="27" ht="18" customHeight="1" s="62">
      <c r="A27" s="4" t="n"/>
      <c r="B27" s="4" t="n"/>
      <c r="C27" s="4" t="n"/>
      <c r="D27" s="88" t="n"/>
      <c r="E27" s="88" t="n"/>
      <c r="F27" s="88" t="n"/>
      <c r="G27" s="88" t="n"/>
      <c r="H27" s="89" t="n"/>
      <c r="I27" s="88" t="n"/>
      <c r="J27" s="88" t="n"/>
      <c r="K27" s="88" t="n"/>
    </row>
    <row r="28" ht="18" customHeight="1" s="62">
      <c r="A28" s="5" t="n"/>
      <c r="B28" s="5" t="n"/>
      <c r="C28" s="5" t="n"/>
      <c r="D28" s="90" t="n"/>
      <c r="E28" s="90" t="n"/>
      <c r="F28" s="90" t="n"/>
      <c r="G28" s="90" t="n"/>
      <c r="H28" s="91" t="n"/>
      <c r="I28" s="90" t="n"/>
      <c r="J28" s="90" t="n"/>
      <c r="K28" s="90" t="n"/>
    </row>
    <row r="29" ht="18" customHeight="1" s="62">
      <c r="A29" s="2" t="inlineStr">
        <is>
          <t>SW 03</t>
        </is>
      </c>
      <c r="B29" s="11">
        <f>Ferien!$F$18</f>
        <v/>
      </c>
      <c r="C29" s="3" t="inlineStr">
        <is>
          <t>SW 03</t>
        </is>
      </c>
      <c r="D29" s="86">
        <f>TEXT(B29,"TT.MM.")&amp;" – "&amp;TEXT(B29+4,"TT.MM.JJJJ")</f>
        <v/>
      </c>
      <c r="E29" s="87" t="n"/>
      <c r="F29" s="87" t="n"/>
      <c r="G29" s="87" t="n"/>
      <c r="H29" s="87" t="n"/>
      <c r="I29" s="87" t="n"/>
      <c r="J29" s="87" t="n"/>
      <c r="K29" s="87" t="n"/>
    </row>
    <row r="30" ht="18" customHeight="1" s="62">
      <c r="A30" s="4" t="n"/>
      <c r="B30" s="4" t="n"/>
      <c r="C30" s="4" t="n"/>
      <c r="D30" s="90" t="n"/>
      <c r="E30" s="90" t="n"/>
      <c r="F30" s="90" t="n"/>
      <c r="G30" s="90" t="n"/>
      <c r="H30" s="91" t="n"/>
      <c r="I30" s="90" t="n"/>
      <c r="J30" s="90" t="n"/>
      <c r="K30" s="90" t="n"/>
    </row>
    <row r="31" ht="18" customHeight="1" s="62">
      <c r="A31" s="5" t="n"/>
      <c r="B31" s="5" t="n"/>
      <c r="C31" s="5" t="n"/>
      <c r="D31" s="88" t="n"/>
      <c r="E31" s="88" t="n"/>
      <c r="F31" s="88" t="n"/>
      <c r="G31" s="88" t="n"/>
      <c r="H31" s="89" t="n"/>
      <c r="I31" s="88" t="n"/>
      <c r="J31" s="88" t="n"/>
      <c r="K31" s="88" t="n"/>
    </row>
    <row r="32" ht="18" customHeight="1" s="62">
      <c r="A32" s="4" t="n"/>
      <c r="B32" s="4" t="n"/>
      <c r="C32" s="4" t="n"/>
      <c r="D32" s="90" t="n"/>
      <c r="E32" s="90" t="n"/>
      <c r="F32" s="90" t="n"/>
      <c r="G32" s="90" t="n"/>
      <c r="H32" s="91" t="n"/>
      <c r="I32" s="90" t="n"/>
      <c r="J32" s="90" t="n"/>
      <c r="K32" s="90" t="n"/>
    </row>
    <row r="33" ht="18" customHeight="1" s="62">
      <c r="A33" s="5" t="n"/>
      <c r="B33" s="5" t="n"/>
      <c r="C33" s="5" t="n"/>
      <c r="D33" s="88" t="n"/>
      <c r="E33" s="88" t="n"/>
      <c r="F33" s="88" t="n"/>
      <c r="G33" s="88" t="n"/>
      <c r="H33" s="89" t="n"/>
      <c r="I33" s="88" t="n"/>
      <c r="J33" s="88" t="n"/>
      <c r="K33" s="88" t="n"/>
    </row>
    <row r="34" ht="18" customHeight="1" s="62">
      <c r="A34" s="4" t="n"/>
      <c r="B34" s="4" t="n"/>
      <c r="C34" s="4" t="n"/>
      <c r="D34" s="90" t="n"/>
      <c r="E34" s="90" t="n"/>
      <c r="F34" s="90" t="n"/>
      <c r="G34" s="90" t="n"/>
      <c r="H34" s="91" t="n"/>
      <c r="I34" s="90" t="n"/>
      <c r="J34" s="90" t="n"/>
      <c r="K34" s="90" t="n"/>
    </row>
    <row r="35" ht="18" customHeight="1" s="62">
      <c r="A35" s="5" t="n"/>
      <c r="B35" s="5" t="n"/>
      <c r="C35" s="5" t="n"/>
      <c r="D35" s="88" t="n"/>
      <c r="E35" s="88" t="n"/>
      <c r="F35" s="88" t="n"/>
      <c r="G35" s="88" t="n"/>
      <c r="H35" s="89" t="n"/>
      <c r="I35" s="88" t="n"/>
      <c r="J35" s="88" t="n"/>
      <c r="K35" s="88" t="n"/>
    </row>
    <row r="36" ht="18" customHeight="1" s="62">
      <c r="A36" s="4" t="n"/>
      <c r="B36" s="4" t="n"/>
      <c r="C36" s="4" t="n"/>
      <c r="D36" s="90" t="n"/>
      <c r="E36" s="90" t="n"/>
      <c r="F36" s="90" t="n"/>
      <c r="G36" s="90" t="n"/>
      <c r="H36" s="91" t="n"/>
      <c r="I36" s="90" t="n"/>
      <c r="J36" s="90" t="n"/>
      <c r="K36" s="90" t="n"/>
    </row>
    <row r="37" ht="18" customHeight="1" s="62">
      <c r="A37" s="5" t="n"/>
      <c r="B37" s="5" t="n"/>
      <c r="C37" s="5" t="n"/>
      <c r="D37" s="88" t="n"/>
      <c r="E37" s="88" t="n"/>
      <c r="F37" s="88" t="n"/>
      <c r="G37" s="88" t="n"/>
      <c r="H37" s="89" t="n"/>
      <c r="I37" s="88" t="n"/>
      <c r="J37" s="88" t="n"/>
      <c r="K37" s="88" t="n"/>
    </row>
    <row r="38" ht="18" customHeight="1" s="62">
      <c r="A38" s="2" t="inlineStr">
        <is>
          <t>SW 04</t>
        </is>
      </c>
      <c r="B38" s="11">
        <f>Ferien!$F$19</f>
        <v/>
      </c>
      <c r="C38" s="3" t="inlineStr">
        <is>
          <t>SW 04</t>
        </is>
      </c>
      <c r="D38" s="86">
        <f>TEXT(B38,"TT.MM.")&amp;" – "&amp;TEXT(B38+4,"TT.MM.JJJJ")</f>
        <v/>
      </c>
      <c r="E38" s="87" t="n"/>
      <c r="F38" s="87" t="n"/>
      <c r="G38" s="87" t="n"/>
      <c r="H38" s="87" t="n"/>
      <c r="I38" s="87" t="n"/>
      <c r="J38" s="87" t="n"/>
      <c r="K38" s="87" t="n"/>
    </row>
    <row r="39" ht="18" customHeight="1" s="62">
      <c r="A39" s="4" t="n"/>
      <c r="B39" s="4" t="n"/>
      <c r="C39" s="4" t="n"/>
      <c r="D39" s="88" t="n"/>
      <c r="E39" s="88" t="n"/>
      <c r="F39" s="88" t="n"/>
      <c r="G39" s="88" t="n"/>
      <c r="H39" s="89" t="n"/>
      <c r="I39" s="88" t="n"/>
      <c r="J39" s="88" t="n"/>
      <c r="K39" s="88" t="n"/>
    </row>
    <row r="40" ht="18" customHeight="1" s="62">
      <c r="A40" s="5" t="n"/>
      <c r="B40" s="5" t="n"/>
      <c r="C40" s="5" t="n"/>
      <c r="D40" s="90" t="n"/>
      <c r="E40" s="90" t="n"/>
      <c r="F40" s="90" t="n"/>
      <c r="G40" s="90" t="n"/>
      <c r="H40" s="91" t="n"/>
      <c r="I40" s="90" t="n"/>
      <c r="J40" s="90" t="n"/>
      <c r="K40" s="90" t="n"/>
    </row>
    <row r="41" ht="18" customHeight="1" s="62">
      <c r="A41" s="4" t="n"/>
      <c r="B41" s="4" t="n"/>
      <c r="C41" s="4" t="n"/>
      <c r="D41" s="88" t="n"/>
      <c r="E41" s="88" t="n"/>
      <c r="F41" s="88" t="n"/>
      <c r="G41" s="88" t="n"/>
      <c r="H41" s="89" t="n"/>
      <c r="I41" s="88" t="n"/>
      <c r="J41" s="88" t="n"/>
      <c r="K41" s="88" t="n"/>
    </row>
    <row r="42" ht="18" customHeight="1" s="62">
      <c r="A42" s="5" t="n"/>
      <c r="B42" s="5" t="n"/>
      <c r="C42" s="5" t="n"/>
      <c r="D42" s="90" t="n"/>
      <c r="E42" s="90" t="n"/>
      <c r="F42" s="90" t="n"/>
      <c r="G42" s="90" t="n"/>
      <c r="H42" s="91" t="n"/>
      <c r="I42" s="90" t="n"/>
      <c r="J42" s="90" t="n"/>
      <c r="K42" s="90" t="n"/>
    </row>
    <row r="43" ht="18" customHeight="1" s="62">
      <c r="A43" s="4" t="n"/>
      <c r="B43" s="4" t="n"/>
      <c r="C43" s="4" t="n"/>
      <c r="D43" s="88" t="n"/>
      <c r="E43" s="88" t="n"/>
      <c r="F43" s="88" t="n"/>
      <c r="G43" s="88" t="n"/>
      <c r="H43" s="89" t="n"/>
      <c r="I43" s="88" t="n"/>
      <c r="J43" s="88" t="n"/>
      <c r="K43" s="88" t="n"/>
    </row>
    <row r="44" ht="18" customHeight="1" s="62">
      <c r="A44" s="5" t="n"/>
      <c r="B44" s="5" t="n"/>
      <c r="C44" s="5" t="n"/>
      <c r="D44" s="90" t="n"/>
      <c r="E44" s="90" t="n"/>
      <c r="F44" s="90" t="n"/>
      <c r="G44" s="90" t="n"/>
      <c r="H44" s="91" t="n"/>
      <c r="I44" s="90" t="n"/>
      <c r="J44" s="90" t="n"/>
      <c r="K44" s="90" t="n"/>
    </row>
    <row r="45" ht="18" customHeight="1" s="62">
      <c r="A45" s="4" t="n"/>
      <c r="B45" s="4" t="n"/>
      <c r="C45" s="4" t="n"/>
      <c r="D45" s="88" t="n"/>
      <c r="E45" s="88" t="n"/>
      <c r="F45" s="88" t="n"/>
      <c r="G45" s="88" t="n"/>
      <c r="H45" s="89" t="n"/>
      <c r="I45" s="88" t="n"/>
      <c r="J45" s="88" t="n"/>
      <c r="K45" s="88" t="n"/>
    </row>
    <row r="46" ht="18" customHeight="1" s="62">
      <c r="A46" s="5" t="n"/>
      <c r="B46" s="5" t="n"/>
      <c r="C46" s="5" t="n"/>
      <c r="D46" s="90" t="n"/>
      <c r="E46" s="90" t="n"/>
      <c r="F46" s="90" t="n"/>
      <c r="G46" s="90" t="n"/>
      <c r="H46" s="91" t="n"/>
      <c r="I46" s="90" t="n"/>
      <c r="J46" s="90" t="n"/>
      <c r="K46" s="90" t="n"/>
    </row>
    <row r="47" ht="18" customHeight="1" s="62">
      <c r="A47" s="2" t="inlineStr">
        <is>
          <t>SW 05</t>
        </is>
      </c>
      <c r="B47" s="11">
        <f>Ferien!$F$20</f>
        <v/>
      </c>
      <c r="C47" s="3" t="inlineStr">
        <is>
          <t>SW 05</t>
        </is>
      </c>
      <c r="D47" s="86">
        <f>TEXT(B47,"TT.MM.")&amp;" – "&amp;TEXT(B47+4,"TT.MM.JJJJ")</f>
        <v/>
      </c>
      <c r="E47" s="87" t="n"/>
      <c r="F47" s="87" t="n"/>
      <c r="G47" s="87" t="n"/>
      <c r="H47" s="87" t="n"/>
      <c r="I47" s="87" t="n"/>
      <c r="J47" s="87" t="n"/>
      <c r="K47" s="87" t="n"/>
    </row>
    <row r="48" ht="18" customHeight="1" s="62">
      <c r="A48" s="4" t="n"/>
      <c r="B48" s="4" t="n"/>
      <c r="C48" s="4" t="n"/>
      <c r="D48" s="90" t="n"/>
      <c r="E48" s="90" t="n"/>
      <c r="F48" s="90" t="n"/>
      <c r="G48" s="90" t="n"/>
      <c r="H48" s="91" t="n"/>
      <c r="I48" s="90" t="n"/>
      <c r="J48" s="90" t="n"/>
      <c r="K48" s="90" t="n"/>
    </row>
    <row r="49" ht="18" customHeight="1" s="62">
      <c r="A49" s="5" t="n"/>
      <c r="B49" s="5" t="n"/>
      <c r="C49" s="5" t="n"/>
      <c r="D49" s="88" t="n"/>
      <c r="E49" s="88" t="n"/>
      <c r="F49" s="88" t="n"/>
      <c r="G49" s="88" t="n"/>
      <c r="H49" s="89" t="n"/>
      <c r="I49" s="88" t="n"/>
      <c r="J49" s="88" t="n"/>
      <c r="K49" s="88" t="n"/>
    </row>
    <row r="50" ht="18" customHeight="1" s="62">
      <c r="A50" s="4" t="n"/>
      <c r="B50" s="4" t="n"/>
      <c r="C50" s="4" t="n"/>
      <c r="D50" s="90" t="n"/>
      <c r="E50" s="90" t="n"/>
      <c r="F50" s="90" t="n"/>
      <c r="G50" s="90" t="n"/>
      <c r="H50" s="91" t="n"/>
      <c r="I50" s="90" t="n"/>
      <c r="J50" s="90" t="n"/>
      <c r="K50" s="90" t="n"/>
    </row>
    <row r="51" ht="18" customHeight="1" s="62">
      <c r="A51" s="5" t="n"/>
      <c r="B51" s="5" t="n"/>
      <c r="C51" s="5" t="n"/>
      <c r="D51" s="88" t="n"/>
      <c r="E51" s="88" t="n"/>
      <c r="F51" s="88" t="n"/>
      <c r="G51" s="88" t="n"/>
      <c r="H51" s="89" t="n"/>
      <c r="I51" s="88" t="n"/>
      <c r="J51" s="88" t="n"/>
      <c r="K51" s="88" t="n"/>
    </row>
    <row r="52" ht="18" customHeight="1" s="62">
      <c r="A52" s="4" t="n"/>
      <c r="B52" s="4" t="n"/>
      <c r="C52" s="4" t="n"/>
      <c r="D52" s="90" t="n"/>
      <c r="E52" s="90" t="n"/>
      <c r="F52" s="90" t="n"/>
      <c r="G52" s="90" t="n"/>
      <c r="H52" s="91" t="n"/>
      <c r="I52" s="90" t="n"/>
      <c r="J52" s="90" t="n"/>
      <c r="K52" s="90" t="n"/>
    </row>
    <row r="53" ht="18" customHeight="1" s="62">
      <c r="A53" s="5" t="n"/>
      <c r="B53" s="5" t="n"/>
      <c r="C53" s="5" t="n"/>
      <c r="D53" s="88" t="n"/>
      <c r="E53" s="88" t="n"/>
      <c r="F53" s="88" t="n"/>
      <c r="G53" s="88" t="n"/>
      <c r="H53" s="89" t="n"/>
      <c r="I53" s="88" t="n"/>
      <c r="J53" s="88" t="n"/>
      <c r="K53" s="88" t="n"/>
    </row>
    <row r="54" ht="18" customHeight="1" s="62">
      <c r="A54" s="4" t="n"/>
      <c r="B54" s="4" t="n"/>
      <c r="C54" s="4" t="n"/>
      <c r="D54" s="90" t="n"/>
      <c r="E54" s="90" t="n"/>
      <c r="F54" s="90" t="n"/>
      <c r="G54" s="90" t="n"/>
      <c r="H54" s="91" t="n"/>
      <c r="I54" s="90" t="n"/>
      <c r="J54" s="90" t="n"/>
      <c r="K54" s="90" t="n"/>
    </row>
    <row r="55" ht="18" customHeight="1" s="62">
      <c r="A55" s="5" t="n"/>
      <c r="B55" s="5" t="n"/>
      <c r="C55" s="5" t="n"/>
      <c r="D55" s="88" t="n"/>
      <c r="E55" s="88" t="n"/>
      <c r="F55" s="88" t="n"/>
      <c r="G55" s="88" t="n"/>
      <c r="H55" s="89" t="n"/>
      <c r="I55" s="88" t="n"/>
      <c r="J55" s="88" t="n"/>
      <c r="K55" s="88" t="n"/>
    </row>
    <row r="56" ht="18" customHeight="1" s="62">
      <c r="A56" s="2" t="inlineStr">
        <is>
          <t>SW 06</t>
        </is>
      </c>
      <c r="B56" s="11">
        <f>Ferien!$F$21</f>
        <v/>
      </c>
      <c r="C56" s="3" t="inlineStr">
        <is>
          <t>SW 06</t>
        </is>
      </c>
      <c r="D56" s="86">
        <f>TEXT(B56,"TT.MM.")&amp;" – "&amp;TEXT(B56+4,"TT.MM.JJJJ")</f>
        <v/>
      </c>
      <c r="E56" s="87" t="n"/>
      <c r="F56" s="87" t="n"/>
      <c r="G56" s="87" t="n"/>
      <c r="H56" s="87" t="n"/>
      <c r="I56" s="87" t="n"/>
      <c r="J56" s="87" t="n"/>
      <c r="K56" s="87" t="n"/>
    </row>
    <row r="57" ht="18" customHeight="1" s="62">
      <c r="A57" s="4" t="n"/>
      <c r="B57" s="4" t="n"/>
      <c r="C57" s="4" t="n"/>
      <c r="D57" s="88" t="n"/>
      <c r="E57" s="88" t="n"/>
      <c r="F57" s="88" t="n"/>
      <c r="G57" s="88" t="n"/>
      <c r="H57" s="89" t="n"/>
      <c r="I57" s="88" t="n"/>
      <c r="J57" s="88" t="n"/>
      <c r="K57" s="88" t="n"/>
    </row>
    <row r="58" ht="18" customHeight="1" s="62">
      <c r="A58" s="5" t="n"/>
      <c r="B58" s="5" t="n"/>
      <c r="C58" s="5" t="n"/>
      <c r="D58" s="90" t="n"/>
      <c r="E58" s="90" t="n"/>
      <c r="F58" s="90" t="n"/>
      <c r="G58" s="90" t="n"/>
      <c r="H58" s="91" t="n"/>
      <c r="I58" s="90" t="n"/>
      <c r="J58" s="90" t="n"/>
      <c r="K58" s="90" t="n"/>
    </row>
    <row r="59" ht="18" customHeight="1" s="62">
      <c r="A59" s="4" t="n"/>
      <c r="B59" s="4" t="n"/>
      <c r="C59" s="4" t="n"/>
      <c r="D59" s="88" t="n"/>
      <c r="E59" s="88" t="n"/>
      <c r="F59" s="88" t="n"/>
      <c r="G59" s="88" t="n"/>
      <c r="H59" s="89" t="n"/>
      <c r="I59" s="88" t="n"/>
      <c r="J59" s="88" t="n"/>
      <c r="K59" s="88" t="n"/>
    </row>
    <row r="60" ht="18" customHeight="1" s="62">
      <c r="A60" s="5" t="n"/>
      <c r="B60" s="5" t="n"/>
      <c r="C60" s="5" t="n"/>
      <c r="D60" s="90" t="n"/>
      <c r="E60" s="90" t="n"/>
      <c r="F60" s="90" t="n"/>
      <c r="G60" s="90" t="n"/>
      <c r="H60" s="91" t="n"/>
      <c r="I60" s="90" t="n"/>
      <c r="J60" s="90" t="n"/>
      <c r="K60" s="90" t="n"/>
    </row>
    <row r="61" ht="18" customHeight="1" s="62">
      <c r="A61" s="4" t="n"/>
      <c r="B61" s="4" t="n"/>
      <c r="C61" s="4" t="n"/>
      <c r="D61" s="88" t="n"/>
      <c r="E61" s="88" t="n"/>
      <c r="F61" s="88" t="n"/>
      <c r="G61" s="88" t="n"/>
      <c r="H61" s="89" t="n"/>
      <c r="I61" s="88" t="n"/>
      <c r="J61" s="88" t="n"/>
      <c r="K61" s="88" t="n"/>
    </row>
    <row r="62" ht="18" customHeight="1" s="62">
      <c r="A62" s="5" t="n"/>
      <c r="B62" s="5" t="n"/>
      <c r="C62" s="5" t="n"/>
      <c r="D62" s="90" t="n"/>
      <c r="E62" s="90" t="n"/>
      <c r="F62" s="90" t="n"/>
      <c r="G62" s="90" t="n"/>
      <c r="H62" s="91" t="n"/>
      <c r="I62" s="90" t="n"/>
      <c r="J62" s="90" t="n"/>
      <c r="K62" s="90" t="n"/>
    </row>
    <row r="63" ht="18" customHeight="1" s="62">
      <c r="A63" s="4" t="n"/>
      <c r="B63" s="4" t="n"/>
      <c r="C63" s="4" t="n"/>
      <c r="D63" s="88" t="n"/>
      <c r="E63" s="88" t="n"/>
      <c r="F63" s="88" t="n"/>
      <c r="G63" s="88" t="n"/>
      <c r="H63" s="89" t="n"/>
      <c r="I63" s="88" t="n"/>
      <c r="J63" s="88" t="n"/>
      <c r="K63" s="88" t="n"/>
    </row>
    <row r="64" ht="18" customHeight="1" s="62">
      <c r="A64" s="5" t="n"/>
      <c r="B64" s="5" t="n"/>
      <c r="C64" s="5" t="n"/>
      <c r="D64" s="90" t="n"/>
      <c r="E64" s="90" t="n"/>
      <c r="F64" s="90" t="n"/>
      <c r="G64" s="90" t="n"/>
      <c r="H64" s="91" t="n"/>
      <c r="I64" s="90" t="n"/>
      <c r="J64" s="90" t="n"/>
      <c r="K64" s="90" t="n"/>
    </row>
    <row r="65" ht="18" customHeight="1" s="62">
      <c r="A65" s="2" t="inlineStr">
        <is>
          <t>SW 07</t>
        </is>
      </c>
      <c r="B65" s="11">
        <f>Ferien!$F$22</f>
        <v/>
      </c>
      <c r="C65" s="3" t="inlineStr">
        <is>
          <t>SW 07</t>
        </is>
      </c>
      <c r="D65" s="86">
        <f>TEXT(B65,"TT.MM.")&amp;" – "&amp;TEXT(B65+4,"TT.MM.JJJJ")</f>
        <v/>
      </c>
      <c r="E65" s="87" t="n"/>
      <c r="F65" s="87" t="n"/>
      <c r="G65" s="87" t="n"/>
      <c r="H65" s="87" t="n"/>
      <c r="I65" s="87" t="n"/>
      <c r="J65" s="87" t="n"/>
      <c r="K65" s="87" t="n"/>
    </row>
    <row r="66" ht="18" customHeight="1" s="62">
      <c r="A66" s="4" t="n"/>
      <c r="B66" s="4" t="n"/>
      <c r="C66" s="4" t="n"/>
      <c r="D66" s="90" t="n"/>
      <c r="E66" s="90" t="n"/>
      <c r="F66" s="90" t="n"/>
      <c r="G66" s="90" t="n"/>
      <c r="H66" s="91" t="n"/>
      <c r="I66" s="90" t="n"/>
      <c r="J66" s="90" t="n"/>
      <c r="K66" s="90" t="n"/>
    </row>
    <row r="67" ht="18" customHeight="1" s="62">
      <c r="A67" s="5" t="n"/>
      <c r="B67" s="5" t="n"/>
      <c r="C67" s="5" t="n"/>
      <c r="D67" s="88" t="n"/>
      <c r="E67" s="88" t="n"/>
      <c r="F67" s="88" t="n"/>
      <c r="G67" s="88" t="n"/>
      <c r="H67" s="89" t="n"/>
      <c r="I67" s="88" t="n"/>
      <c r="J67" s="88" t="n"/>
      <c r="K67" s="88" t="n"/>
    </row>
    <row r="68" ht="18" customHeight="1" s="62">
      <c r="A68" s="4" t="n"/>
      <c r="B68" s="4" t="n"/>
      <c r="C68" s="4" t="n"/>
      <c r="D68" s="90" t="n"/>
      <c r="E68" s="90" t="n"/>
      <c r="F68" s="90" t="n"/>
      <c r="G68" s="90" t="n"/>
      <c r="H68" s="91" t="n"/>
      <c r="I68" s="90" t="n"/>
      <c r="J68" s="90" t="n"/>
      <c r="K68" s="90" t="n"/>
    </row>
    <row r="69" ht="18" customHeight="1" s="62">
      <c r="A69" s="5" t="n"/>
      <c r="B69" s="5" t="n"/>
      <c r="C69" s="5" t="n"/>
      <c r="D69" s="88" t="n"/>
      <c r="E69" s="88" t="n"/>
      <c r="F69" s="88" t="n"/>
      <c r="G69" s="88" t="n"/>
      <c r="H69" s="89" t="n"/>
      <c r="I69" s="88" t="n"/>
      <c r="J69" s="88" t="n"/>
      <c r="K69" s="88" t="n"/>
    </row>
    <row r="70" ht="18" customHeight="1" s="62">
      <c r="A70" s="4" t="n"/>
      <c r="B70" s="4" t="n"/>
      <c r="C70" s="4" t="n"/>
      <c r="D70" s="90" t="n"/>
      <c r="E70" s="90" t="n"/>
      <c r="F70" s="90" t="n"/>
      <c r="G70" s="90" t="n"/>
      <c r="H70" s="91" t="n"/>
      <c r="I70" s="90" t="n"/>
      <c r="J70" s="90" t="n"/>
      <c r="K70" s="90" t="n"/>
    </row>
    <row r="71" ht="18" customHeight="1" s="62">
      <c r="A71" s="5" t="n"/>
      <c r="B71" s="5" t="n"/>
      <c r="C71" s="5" t="n"/>
      <c r="D71" s="88" t="n"/>
      <c r="E71" s="88" t="n"/>
      <c r="F71" s="88" t="n"/>
      <c r="G71" s="88" t="n"/>
      <c r="H71" s="89" t="n"/>
      <c r="I71" s="88" t="n"/>
      <c r="J71" s="88" t="n"/>
      <c r="K71" s="88" t="n"/>
    </row>
    <row r="72" ht="18" customHeight="1" s="62">
      <c r="A72" s="4" t="n"/>
      <c r="B72" s="4" t="n"/>
      <c r="C72" s="4" t="n"/>
      <c r="D72" s="90" t="n"/>
      <c r="E72" s="90" t="n"/>
      <c r="F72" s="90" t="n"/>
      <c r="G72" s="90" t="n"/>
      <c r="H72" s="91" t="n"/>
      <c r="I72" s="90" t="n"/>
      <c r="J72" s="90" t="n"/>
      <c r="K72" s="90" t="n"/>
    </row>
    <row r="73" ht="18" customHeight="1" s="62">
      <c r="A73" s="5" t="n"/>
      <c r="B73" s="5" t="n"/>
      <c r="C73" s="5" t="n"/>
      <c r="D73" s="88" t="n"/>
      <c r="E73" s="88" t="n"/>
      <c r="F73" s="88" t="n"/>
      <c r="G73" s="88" t="n"/>
      <c r="H73" s="89" t="n"/>
      <c r="I73" s="88" t="n"/>
      <c r="J73" s="88" t="n"/>
      <c r="K73" s="88" t="n"/>
    </row>
    <row r="74" ht="18" customHeight="1" s="62">
      <c r="A74" s="6" t="inlineStr">
        <is>
          <t>FERIEN</t>
        </is>
      </c>
      <c r="B74" s="6" t="inlineStr">
        <is>
          <t>2025-10-13</t>
        </is>
      </c>
      <c r="C74" s="6" t="inlineStr">
        <is>
          <t>FERIEN</t>
        </is>
      </c>
      <c r="D74" s="90" t="inlineStr">
        <is>
          <t>13.10.2025 – 24.10.2025</t>
        </is>
      </c>
      <c r="E74" s="90" t="n"/>
      <c r="F74" s="90" t="n"/>
      <c r="G74" s="90" t="n"/>
      <c r="H74" s="91" t="inlineStr">
        <is>
          <t>Herbstferien</t>
        </is>
      </c>
      <c r="I74" s="90" t="inlineStr">
        <is>
          <t>Feiertage/Ferien</t>
        </is>
      </c>
      <c r="J74" s="90" t="n"/>
      <c r="K74" s="90" t="n"/>
    </row>
    <row r="75" ht="18" customHeight="1" s="62">
      <c r="A75" s="2" t="inlineStr">
        <is>
          <t>SW 08</t>
        </is>
      </c>
      <c r="B75" s="11">
        <f>Ferien!$F$23</f>
        <v/>
      </c>
      <c r="C75" s="3" t="inlineStr">
        <is>
          <t>SW 08</t>
        </is>
      </c>
      <c r="D75" s="86">
        <f>TEXT(B75,"TT.MM.")&amp;" – "&amp;TEXT(B75+4,"TT.MM.JJJJ")</f>
        <v/>
      </c>
      <c r="E75" s="87" t="n"/>
      <c r="F75" s="87" t="n"/>
      <c r="G75" s="87" t="n"/>
      <c r="H75" s="87" t="n"/>
      <c r="I75" s="87" t="n"/>
      <c r="J75" s="87" t="n"/>
      <c r="K75" s="87" t="n"/>
    </row>
    <row r="76" ht="18" customHeight="1" s="62">
      <c r="A76" s="4" t="n"/>
      <c r="B76" s="4" t="n"/>
      <c r="C76" s="4" t="n"/>
      <c r="D76" s="90" t="n"/>
      <c r="E76" s="90" t="n"/>
      <c r="F76" s="90" t="n"/>
      <c r="G76" s="90" t="n"/>
      <c r="H76" s="91" t="n"/>
      <c r="I76" s="90" t="n"/>
      <c r="J76" s="90" t="n"/>
      <c r="K76" s="90" t="n"/>
    </row>
    <row r="77" ht="18" customHeight="1" s="62">
      <c r="A77" s="5" t="n"/>
      <c r="B77" s="5" t="n"/>
      <c r="C77" s="5" t="n"/>
      <c r="D77" s="88" t="n"/>
      <c r="E77" s="88" t="n"/>
      <c r="F77" s="88" t="n"/>
      <c r="G77" s="88" t="n"/>
      <c r="H77" s="89" t="n"/>
      <c r="I77" s="88" t="n"/>
      <c r="J77" s="88" t="n"/>
      <c r="K77" s="88" t="n"/>
    </row>
    <row r="78" ht="18" customHeight="1" s="62">
      <c r="A78" s="4" t="n"/>
      <c r="B78" s="4" t="n"/>
      <c r="C78" s="4" t="n"/>
      <c r="D78" s="90" t="n"/>
      <c r="E78" s="90" t="n"/>
      <c r="F78" s="90" t="n"/>
      <c r="G78" s="90" t="n"/>
      <c r="H78" s="91" t="n"/>
      <c r="I78" s="90" t="n"/>
      <c r="J78" s="90" t="n"/>
      <c r="K78" s="90" t="n"/>
    </row>
    <row r="79" ht="18" customHeight="1" s="62">
      <c r="A79" s="5" t="n"/>
      <c r="B79" s="5" t="n"/>
      <c r="C79" s="5" t="n"/>
      <c r="D79" s="88" t="n"/>
      <c r="E79" s="88" t="n"/>
      <c r="F79" s="88" t="n"/>
      <c r="G79" s="88" t="n"/>
      <c r="H79" s="89" t="n"/>
      <c r="I79" s="88" t="n"/>
      <c r="J79" s="88" t="n"/>
      <c r="K79" s="88" t="n"/>
    </row>
    <row r="80" ht="18" customHeight="1" s="62">
      <c r="A80" s="4" t="n"/>
      <c r="B80" s="4" t="n"/>
      <c r="C80" s="4" t="n"/>
      <c r="D80" s="90" t="n"/>
      <c r="E80" s="90" t="n"/>
      <c r="F80" s="90" t="n"/>
      <c r="G80" s="90" t="n"/>
      <c r="H80" s="91" t="n"/>
      <c r="I80" s="90" t="n"/>
      <c r="J80" s="90" t="n"/>
      <c r="K80" s="90" t="n"/>
    </row>
    <row r="81" ht="18" customHeight="1" s="62">
      <c r="A81" s="5" t="n"/>
      <c r="B81" s="5" t="n"/>
      <c r="C81" s="5" t="n"/>
      <c r="D81" s="88" t="n"/>
      <c r="E81" s="88" t="n"/>
      <c r="F81" s="88" t="n"/>
      <c r="G81" s="88" t="n"/>
      <c r="H81" s="89" t="n"/>
      <c r="I81" s="88" t="n"/>
      <c r="J81" s="88" t="n"/>
      <c r="K81" s="88" t="n"/>
    </row>
    <row r="82" ht="18" customHeight="1" s="62">
      <c r="A82" s="4" t="n"/>
      <c r="B82" s="4" t="n"/>
      <c r="C82" s="4" t="n"/>
      <c r="D82" s="90" t="n"/>
      <c r="E82" s="90" t="n"/>
      <c r="F82" s="90" t="n"/>
      <c r="G82" s="90" t="n"/>
      <c r="H82" s="91" t="n"/>
      <c r="I82" s="90" t="n"/>
      <c r="J82" s="90" t="n"/>
      <c r="K82" s="90" t="n"/>
    </row>
    <row r="83" ht="18" customHeight="1" s="62">
      <c r="A83" s="5" t="n"/>
      <c r="B83" s="5" t="n"/>
      <c r="C83" s="5" t="n"/>
      <c r="D83" s="88" t="n"/>
      <c r="E83" s="88" t="n"/>
      <c r="F83" s="88" t="n"/>
      <c r="G83" s="88" t="n"/>
      <c r="H83" s="89" t="n"/>
      <c r="I83" s="88" t="n"/>
      <c r="J83" s="88" t="n"/>
      <c r="K83" s="88" t="n"/>
    </row>
    <row r="84" ht="18" customHeight="1" s="62">
      <c r="A84" s="2" t="inlineStr">
        <is>
          <t>SW 09</t>
        </is>
      </c>
      <c r="B84" s="11">
        <f>Ferien!$F$24</f>
        <v/>
      </c>
      <c r="C84" s="3" t="inlineStr">
        <is>
          <t>SW 09</t>
        </is>
      </c>
      <c r="D84" s="86">
        <f>TEXT(B84,"TT.MM.")&amp;" – "&amp;TEXT(B84+4,"TT.MM.JJJJ")</f>
        <v/>
      </c>
      <c r="E84" s="87" t="n"/>
      <c r="F84" s="87" t="n"/>
      <c r="G84" s="87" t="n"/>
      <c r="H84" s="87" t="n"/>
      <c r="I84" s="87" t="n"/>
      <c r="J84" s="87" t="n"/>
      <c r="K84" s="87" t="n"/>
    </row>
    <row r="85" ht="18" customHeight="1" s="62">
      <c r="A85" s="4" t="n"/>
      <c r="B85" s="4" t="n"/>
      <c r="C85" s="4" t="n"/>
      <c r="D85" s="88" t="n"/>
      <c r="E85" s="88" t="n"/>
      <c r="F85" s="88" t="n"/>
      <c r="G85" s="88" t="n"/>
      <c r="H85" s="89" t="n"/>
      <c r="I85" s="88" t="n"/>
      <c r="J85" s="88" t="n"/>
      <c r="K85" s="88" t="n"/>
    </row>
    <row r="86" ht="18" customHeight="1" s="62">
      <c r="A86" s="5" t="n"/>
      <c r="B86" s="5" t="n"/>
      <c r="C86" s="5" t="n"/>
      <c r="D86" s="90" t="n"/>
      <c r="E86" s="90" t="n"/>
      <c r="F86" s="90" t="n"/>
      <c r="G86" s="90" t="n"/>
      <c r="H86" s="91" t="n"/>
      <c r="I86" s="90" t="n"/>
      <c r="J86" s="90" t="n"/>
      <c r="K86" s="90" t="n"/>
    </row>
    <row r="87" ht="18" customHeight="1" s="62">
      <c r="A87" s="4" t="n"/>
      <c r="B87" s="4" t="n"/>
      <c r="C87" s="4" t="n"/>
      <c r="D87" s="88" t="n"/>
      <c r="E87" s="88" t="n"/>
      <c r="F87" s="88" t="n"/>
      <c r="G87" s="88" t="n"/>
      <c r="H87" s="89" t="n"/>
      <c r="I87" s="88" t="n"/>
      <c r="J87" s="88" t="n"/>
      <c r="K87" s="88" t="n"/>
    </row>
    <row r="88" ht="18" customHeight="1" s="62">
      <c r="A88" s="5" t="n"/>
      <c r="B88" s="5" t="n"/>
      <c r="C88" s="5" t="n"/>
      <c r="D88" s="90" t="n"/>
      <c r="E88" s="90" t="n"/>
      <c r="F88" s="90" t="n"/>
      <c r="G88" s="90" t="n"/>
      <c r="H88" s="91" t="n"/>
      <c r="I88" s="90" t="n"/>
      <c r="J88" s="90" t="n"/>
      <c r="K88" s="90" t="n"/>
    </row>
    <row r="89" ht="18" customHeight="1" s="62">
      <c r="A89" s="4" t="n"/>
      <c r="B89" s="4" t="n"/>
      <c r="C89" s="4" t="n"/>
      <c r="D89" s="88" t="n"/>
      <c r="E89" s="88" t="n"/>
      <c r="F89" s="88" t="n"/>
      <c r="G89" s="88" t="n"/>
      <c r="H89" s="89" t="n"/>
      <c r="I89" s="88" t="n"/>
      <c r="J89" s="88" t="n"/>
      <c r="K89" s="88" t="n"/>
    </row>
    <row r="90" ht="18" customHeight="1" s="62">
      <c r="A90" s="5" t="n"/>
      <c r="B90" s="5" t="n"/>
      <c r="C90" s="5" t="n"/>
      <c r="D90" s="90" t="n"/>
      <c r="E90" s="90" t="n"/>
      <c r="F90" s="90" t="n"/>
      <c r="G90" s="90" t="n"/>
      <c r="H90" s="91" t="n"/>
      <c r="I90" s="90" t="n"/>
      <c r="J90" s="90" t="n"/>
      <c r="K90" s="90" t="n"/>
    </row>
    <row r="91" ht="18" customHeight="1" s="62">
      <c r="A91" s="4" t="n"/>
      <c r="B91" s="4" t="n"/>
      <c r="C91" s="4" t="n"/>
      <c r="D91" s="88" t="n"/>
      <c r="E91" s="88" t="n"/>
      <c r="F91" s="88" t="n"/>
      <c r="G91" s="88" t="n"/>
      <c r="H91" s="89" t="n"/>
      <c r="I91" s="88" t="n"/>
      <c r="J91" s="88" t="n"/>
      <c r="K91" s="88" t="n"/>
    </row>
    <row r="92" ht="18" customHeight="1" s="62">
      <c r="A92" s="5" t="n"/>
      <c r="B92" s="5" t="n"/>
      <c r="C92" s="5" t="n"/>
      <c r="D92" s="90" t="n"/>
      <c r="E92" s="90" t="n"/>
      <c r="F92" s="90" t="n"/>
      <c r="G92" s="90" t="n"/>
      <c r="H92" s="91" t="n"/>
      <c r="I92" s="90" t="n"/>
      <c r="J92" s="90" t="n"/>
      <c r="K92" s="90" t="n"/>
    </row>
    <row r="93" ht="18" customHeight="1" s="62">
      <c r="A93" s="2" t="inlineStr">
        <is>
          <t>SW 10</t>
        </is>
      </c>
      <c r="B93" s="11">
        <f>Ferien!$F$25</f>
        <v/>
      </c>
      <c r="C93" s="3" t="inlineStr">
        <is>
          <t>SW 10</t>
        </is>
      </c>
      <c r="D93" s="86">
        <f>TEXT(B93,"TT.MM.")&amp;" – "&amp;TEXT(B93+4,"TT.MM.JJJJ")</f>
        <v/>
      </c>
      <c r="E93" s="87" t="n"/>
      <c r="F93" s="87" t="n"/>
      <c r="G93" s="87" t="n"/>
      <c r="H93" s="87" t="n"/>
      <c r="I93" s="87" t="n"/>
      <c r="J93" s="87" t="n"/>
      <c r="K93" s="87" t="n"/>
    </row>
    <row r="94" ht="18" customHeight="1" s="62">
      <c r="A94" s="4" t="n"/>
      <c r="B94" s="4" t="n"/>
      <c r="C94" s="4" t="n"/>
      <c r="D94" s="90" t="n"/>
      <c r="E94" s="90" t="n"/>
      <c r="F94" s="90" t="n"/>
      <c r="G94" s="90" t="n"/>
      <c r="H94" s="91" t="n"/>
      <c r="I94" s="90" t="n"/>
      <c r="J94" s="90" t="n"/>
      <c r="K94" s="90" t="n"/>
    </row>
    <row r="95" ht="18" customHeight="1" s="62">
      <c r="A95" s="5" t="n"/>
      <c r="B95" s="5" t="n"/>
      <c r="C95" s="5" t="n"/>
      <c r="D95" s="88" t="n"/>
      <c r="E95" s="88" t="n"/>
      <c r="F95" s="88" t="n"/>
      <c r="G95" s="88" t="n"/>
      <c r="H95" s="89" t="n"/>
      <c r="I95" s="88" t="n"/>
      <c r="J95" s="88" t="n"/>
      <c r="K95" s="88" t="n"/>
    </row>
    <row r="96" ht="18" customHeight="1" s="62">
      <c r="A96" s="4" t="n"/>
      <c r="B96" s="4" t="n"/>
      <c r="C96" s="4" t="n"/>
      <c r="D96" s="90" t="n"/>
      <c r="E96" s="90" t="n"/>
      <c r="F96" s="90" t="n"/>
      <c r="G96" s="90" t="n"/>
      <c r="H96" s="91" t="n"/>
      <c r="I96" s="90" t="n"/>
      <c r="J96" s="90" t="n"/>
      <c r="K96" s="90" t="n"/>
    </row>
    <row r="97" ht="18" customHeight="1" s="62">
      <c r="A97" s="5" t="n"/>
      <c r="B97" s="5" t="n"/>
      <c r="C97" s="5" t="n"/>
      <c r="D97" s="88" t="n"/>
      <c r="E97" s="88" t="n"/>
      <c r="F97" s="88" t="n"/>
      <c r="G97" s="88" t="n"/>
      <c r="H97" s="89" t="n"/>
      <c r="I97" s="88" t="n"/>
      <c r="J97" s="88" t="n"/>
      <c r="K97" s="88" t="n"/>
    </row>
    <row r="98" ht="18" customHeight="1" s="62">
      <c r="A98" s="4" t="n"/>
      <c r="B98" s="4" t="n"/>
      <c r="C98" s="4" t="n"/>
      <c r="D98" s="90" t="n"/>
      <c r="E98" s="90" t="n"/>
      <c r="F98" s="90" t="n"/>
      <c r="G98" s="90" t="n"/>
      <c r="H98" s="91" t="n"/>
      <c r="I98" s="90" t="n"/>
      <c r="J98" s="90" t="n"/>
      <c r="K98" s="90" t="n"/>
    </row>
    <row r="99" ht="18" customHeight="1" s="62">
      <c r="A99" s="5" t="n"/>
      <c r="B99" s="5" t="n"/>
      <c r="C99" s="5" t="n"/>
      <c r="D99" s="88" t="n"/>
      <c r="E99" s="88" t="n"/>
      <c r="F99" s="88" t="n"/>
      <c r="G99" s="88" t="n"/>
      <c r="H99" s="89" t="n"/>
      <c r="I99" s="88" t="n"/>
      <c r="J99" s="88" t="n"/>
      <c r="K99" s="88" t="n"/>
    </row>
    <row r="100" ht="18" customHeight="1" s="62">
      <c r="A100" s="4" t="n"/>
      <c r="B100" s="4" t="n"/>
      <c r="C100" s="4" t="n"/>
      <c r="D100" s="90" t="n"/>
      <c r="E100" s="90" t="n"/>
      <c r="F100" s="90" t="n"/>
      <c r="G100" s="90" t="n"/>
      <c r="H100" s="91" t="n"/>
      <c r="I100" s="90" t="n"/>
      <c r="J100" s="90" t="n"/>
      <c r="K100" s="90" t="n"/>
    </row>
    <row r="101" ht="18" customHeight="1" s="62">
      <c r="A101" s="5" t="n"/>
      <c r="B101" s="5" t="n"/>
      <c r="C101" s="5" t="n"/>
      <c r="D101" s="88" t="n"/>
      <c r="E101" s="88" t="n"/>
      <c r="F101" s="88" t="n"/>
      <c r="G101" s="88" t="n"/>
      <c r="H101" s="89" t="n"/>
      <c r="I101" s="88" t="n"/>
      <c r="J101" s="88" t="n"/>
      <c r="K101" s="88" t="n"/>
    </row>
    <row r="102" ht="18" customHeight="1" s="62">
      <c r="A102" s="2" t="inlineStr">
        <is>
          <t>SW 11</t>
        </is>
      </c>
      <c r="B102" s="11">
        <f>Ferien!$F$26</f>
        <v/>
      </c>
      <c r="C102" s="3" t="inlineStr">
        <is>
          <t>SW 11</t>
        </is>
      </c>
      <c r="D102" s="86">
        <f>TEXT(B102,"TT.MM.")&amp;" – "&amp;TEXT(B102+4,"TT.MM.JJJJ")</f>
        <v/>
      </c>
      <c r="E102" s="87" t="n"/>
      <c r="F102" s="87" t="n"/>
      <c r="G102" s="87" t="n"/>
      <c r="H102" s="87" t="n"/>
      <c r="I102" s="87" t="n"/>
      <c r="J102" s="87" t="n"/>
      <c r="K102" s="87" t="n"/>
    </row>
    <row r="103" ht="18" customHeight="1" s="62">
      <c r="A103" s="4" t="n"/>
      <c r="B103" s="4" t="n"/>
      <c r="C103" s="4" t="n"/>
      <c r="D103" s="88" t="n"/>
      <c r="E103" s="88" t="n"/>
      <c r="F103" s="88" t="n"/>
      <c r="G103" s="88" t="n"/>
      <c r="H103" s="89" t="n"/>
      <c r="I103" s="88" t="n"/>
      <c r="J103" s="88" t="n"/>
      <c r="K103" s="88" t="n"/>
    </row>
    <row r="104" ht="18" customHeight="1" s="62">
      <c r="A104" s="5" t="n"/>
      <c r="B104" s="5" t="n"/>
      <c r="C104" s="5" t="n"/>
      <c r="D104" s="90" t="n"/>
      <c r="E104" s="90" t="n"/>
      <c r="F104" s="90" t="n"/>
      <c r="G104" s="90" t="n"/>
      <c r="H104" s="91" t="n"/>
      <c r="I104" s="90" t="n"/>
      <c r="J104" s="90" t="n"/>
      <c r="K104" s="90" t="n"/>
    </row>
    <row r="105" ht="18" customHeight="1" s="62">
      <c r="A105" s="4" t="n"/>
      <c r="B105" s="4" t="n"/>
      <c r="C105" s="4" t="n"/>
      <c r="D105" s="88" t="n"/>
      <c r="E105" s="88" t="n"/>
      <c r="F105" s="88" t="n"/>
      <c r="G105" s="88" t="n"/>
      <c r="H105" s="89" t="n"/>
      <c r="I105" s="88" t="n"/>
      <c r="J105" s="88" t="n"/>
      <c r="K105" s="88" t="n"/>
    </row>
    <row r="106" ht="18" customHeight="1" s="62">
      <c r="A106" s="5" t="n"/>
      <c r="B106" s="5" t="n"/>
      <c r="C106" s="5" t="n"/>
      <c r="D106" s="90" t="n"/>
      <c r="E106" s="90" t="n"/>
      <c r="F106" s="90" t="n"/>
      <c r="G106" s="90" t="n"/>
      <c r="H106" s="91" t="n"/>
      <c r="I106" s="90" t="n"/>
      <c r="J106" s="90" t="n"/>
      <c r="K106" s="90" t="n"/>
    </row>
    <row r="107" ht="18" customHeight="1" s="62">
      <c r="A107" s="4" t="n"/>
      <c r="B107" s="4" t="n"/>
      <c r="C107" s="4" t="n"/>
      <c r="D107" s="88" t="n"/>
      <c r="E107" s="88" t="n"/>
      <c r="F107" s="88" t="n"/>
      <c r="G107" s="88" t="n"/>
      <c r="H107" s="89" t="n"/>
      <c r="I107" s="88" t="n"/>
      <c r="J107" s="88" t="n"/>
      <c r="K107" s="88" t="n"/>
    </row>
    <row r="108" ht="18" customHeight="1" s="62">
      <c r="A108" s="5" t="n"/>
      <c r="B108" s="5" t="n"/>
      <c r="C108" s="5" t="n"/>
      <c r="D108" s="90" t="n"/>
      <c r="E108" s="90" t="n"/>
      <c r="F108" s="90" t="n"/>
      <c r="G108" s="90" t="n"/>
      <c r="H108" s="91" t="n"/>
      <c r="I108" s="90" t="n"/>
      <c r="J108" s="90" t="n"/>
      <c r="K108" s="90" t="n"/>
    </row>
    <row r="109" ht="18" customHeight="1" s="62">
      <c r="A109" s="4" t="n"/>
      <c r="B109" s="4" t="n"/>
      <c r="C109" s="4" t="n"/>
      <c r="D109" s="88" t="n"/>
      <c r="E109" s="88" t="n"/>
      <c r="F109" s="88" t="n"/>
      <c r="G109" s="88" t="n"/>
      <c r="H109" s="89" t="n"/>
      <c r="I109" s="88" t="n"/>
      <c r="J109" s="88" t="n"/>
      <c r="K109" s="88" t="n"/>
    </row>
    <row r="110" ht="18" customHeight="1" s="62">
      <c r="A110" s="5" t="n"/>
      <c r="B110" s="5" t="n"/>
      <c r="C110" s="5" t="n"/>
      <c r="D110" s="90" t="n"/>
      <c r="E110" s="90" t="n"/>
      <c r="F110" s="90" t="n"/>
      <c r="G110" s="90" t="n"/>
      <c r="H110" s="91" t="n"/>
      <c r="I110" s="90" t="n"/>
      <c r="J110" s="90" t="n"/>
      <c r="K110" s="90" t="n"/>
    </row>
    <row r="111" ht="18" customHeight="1" s="62">
      <c r="A111" s="2" t="inlineStr">
        <is>
          <t>SW 12</t>
        </is>
      </c>
      <c r="B111" s="11">
        <f>Ferien!$F$27</f>
        <v/>
      </c>
      <c r="C111" s="3" t="inlineStr">
        <is>
          <t>SW 12</t>
        </is>
      </c>
      <c r="D111" s="86">
        <f>TEXT(B111,"TT.MM.")&amp;" – "&amp;TEXT(B111+4,"TT.MM.JJJJ")</f>
        <v/>
      </c>
      <c r="E111" s="87" t="n"/>
      <c r="F111" s="87" t="n"/>
      <c r="G111" s="87" t="n"/>
      <c r="H111" s="87" t="n"/>
      <c r="I111" s="87" t="n"/>
      <c r="J111" s="87" t="n"/>
      <c r="K111" s="87" t="n"/>
    </row>
    <row r="112" ht="18" customHeight="1" s="62">
      <c r="A112" s="4" t="n"/>
      <c r="B112" s="4" t="n"/>
      <c r="C112" s="4" t="n"/>
      <c r="D112" s="90" t="n"/>
      <c r="E112" s="90" t="n"/>
      <c r="F112" s="90" t="n"/>
      <c r="G112" s="90" t="n"/>
      <c r="H112" s="91" t="n"/>
      <c r="I112" s="90" t="n"/>
      <c r="J112" s="90" t="n"/>
      <c r="K112" s="90" t="n"/>
    </row>
    <row r="113" ht="18" customHeight="1" s="62">
      <c r="A113" s="5" t="n"/>
      <c r="B113" s="5" t="n"/>
      <c r="C113" s="5" t="n"/>
      <c r="D113" s="88" t="n"/>
      <c r="E113" s="88" t="n"/>
      <c r="F113" s="88" t="n"/>
      <c r="G113" s="88" t="n"/>
      <c r="H113" s="89" t="n"/>
      <c r="I113" s="88" t="n"/>
      <c r="J113" s="88" t="n"/>
      <c r="K113" s="88" t="n"/>
    </row>
    <row r="114" ht="18" customHeight="1" s="62">
      <c r="A114" s="4" t="n"/>
      <c r="B114" s="4" t="n"/>
      <c r="C114" s="4" t="n"/>
      <c r="D114" s="90" t="n"/>
      <c r="E114" s="90" t="n"/>
      <c r="F114" s="90" t="n"/>
      <c r="G114" s="90" t="n"/>
      <c r="H114" s="91" t="n"/>
      <c r="I114" s="90" t="n"/>
      <c r="J114" s="90" t="n"/>
      <c r="K114" s="90" t="n"/>
    </row>
    <row r="115" ht="18" customHeight="1" s="62">
      <c r="A115" s="5" t="n"/>
      <c r="B115" s="5" t="n"/>
      <c r="C115" s="5" t="n"/>
      <c r="D115" s="88" t="n"/>
      <c r="E115" s="88" t="n"/>
      <c r="F115" s="88" t="n"/>
      <c r="G115" s="88" t="n"/>
      <c r="H115" s="89" t="n"/>
      <c r="I115" s="88" t="n"/>
      <c r="J115" s="88" t="n"/>
      <c r="K115" s="88" t="n"/>
    </row>
    <row r="116" ht="18" customHeight="1" s="62">
      <c r="A116" s="4" t="n"/>
      <c r="B116" s="4" t="n"/>
      <c r="C116" s="4" t="n"/>
      <c r="D116" s="90" t="n"/>
      <c r="E116" s="90" t="n"/>
      <c r="F116" s="90" t="n"/>
      <c r="G116" s="90" t="n"/>
      <c r="H116" s="91" t="n"/>
      <c r="I116" s="90" t="n"/>
      <c r="J116" s="90" t="n"/>
      <c r="K116" s="90" t="n"/>
    </row>
    <row r="117" ht="18" customHeight="1" s="62">
      <c r="A117" s="5" t="n"/>
      <c r="B117" s="5" t="n"/>
      <c r="C117" s="5" t="n"/>
      <c r="D117" s="88" t="n"/>
      <c r="E117" s="88" t="n"/>
      <c r="F117" s="88" t="n"/>
      <c r="G117" s="88" t="n"/>
      <c r="H117" s="89" t="n"/>
      <c r="I117" s="88" t="n"/>
      <c r="J117" s="88" t="n"/>
      <c r="K117" s="88" t="n"/>
    </row>
    <row r="118" ht="18" customHeight="1" s="62">
      <c r="A118" s="4" t="n"/>
      <c r="B118" s="4" t="n"/>
      <c r="C118" s="4" t="n"/>
      <c r="D118" s="90" t="n"/>
      <c r="E118" s="90" t="n"/>
      <c r="F118" s="90" t="n"/>
      <c r="G118" s="90" t="n"/>
      <c r="H118" s="91" t="n"/>
      <c r="I118" s="90" t="n"/>
      <c r="J118" s="90" t="n"/>
      <c r="K118" s="90" t="n"/>
    </row>
    <row r="119" ht="18" customHeight="1" s="62">
      <c r="A119" s="5" t="n"/>
      <c r="B119" s="5" t="n"/>
      <c r="C119" s="5" t="n"/>
      <c r="D119" s="88" t="n"/>
      <c r="E119" s="88" t="n"/>
      <c r="F119" s="88" t="n"/>
      <c r="G119" s="88" t="n"/>
      <c r="H119" s="89" t="n"/>
      <c r="I119" s="88" t="n"/>
      <c r="J119" s="88" t="n"/>
      <c r="K119" s="88" t="n"/>
    </row>
    <row r="120" ht="18" customHeight="1" s="62">
      <c r="A120" s="2" t="inlineStr">
        <is>
          <t>SW 13</t>
        </is>
      </c>
      <c r="B120" s="11">
        <f>Ferien!$F$28</f>
        <v/>
      </c>
      <c r="C120" s="3" t="inlineStr">
        <is>
          <t>SW 13</t>
        </is>
      </c>
      <c r="D120" s="86">
        <f>TEXT(B120,"TT.MM.")&amp;" – "&amp;TEXT(B120+4,"TT.MM.JJJJ")</f>
        <v/>
      </c>
      <c r="E120" s="87" t="n"/>
      <c r="F120" s="87" t="n"/>
      <c r="G120" s="87" t="n"/>
      <c r="H120" s="87" t="n"/>
      <c r="I120" s="87" t="n"/>
      <c r="J120" s="87" t="n"/>
      <c r="K120" s="87" t="n"/>
    </row>
    <row r="121" ht="18" customHeight="1" s="62">
      <c r="A121" s="4" t="n"/>
      <c r="B121" s="4" t="n"/>
      <c r="C121" s="4" t="n"/>
      <c r="D121" s="88" t="n"/>
      <c r="E121" s="88" t="n"/>
      <c r="F121" s="88" t="n"/>
      <c r="G121" s="88" t="n"/>
      <c r="H121" s="89" t="n"/>
      <c r="I121" s="88" t="n"/>
      <c r="J121" s="88" t="n"/>
      <c r="K121" s="88" t="n"/>
    </row>
    <row r="122" ht="18" customHeight="1" s="62">
      <c r="A122" s="5" t="n"/>
      <c r="B122" s="5" t="n"/>
      <c r="C122" s="5" t="n"/>
      <c r="D122" s="90" t="n"/>
      <c r="E122" s="90" t="n"/>
      <c r="F122" s="90" t="n"/>
      <c r="G122" s="90" t="n"/>
      <c r="H122" s="91" t="n"/>
      <c r="I122" s="90" t="n"/>
      <c r="J122" s="90" t="n"/>
      <c r="K122" s="90" t="n"/>
    </row>
    <row r="123" ht="18" customHeight="1" s="62">
      <c r="A123" s="4" t="n"/>
      <c r="B123" s="4" t="n"/>
      <c r="C123" s="4" t="n"/>
      <c r="D123" s="88" t="n"/>
      <c r="E123" s="88" t="n"/>
      <c r="F123" s="88" t="n"/>
      <c r="G123" s="88" t="n"/>
      <c r="H123" s="89" t="n"/>
      <c r="I123" s="88" t="n"/>
      <c r="J123" s="88" t="n"/>
      <c r="K123" s="88" t="n"/>
    </row>
    <row r="124" ht="18" customHeight="1" s="62">
      <c r="A124" s="5" t="n"/>
      <c r="B124" s="5" t="n"/>
      <c r="C124" s="5" t="n"/>
      <c r="D124" s="90" t="n"/>
      <c r="E124" s="90" t="n"/>
      <c r="F124" s="90" t="n"/>
      <c r="G124" s="90" t="n"/>
      <c r="H124" s="91" t="n"/>
      <c r="I124" s="90" t="n"/>
      <c r="J124" s="90" t="n"/>
      <c r="K124" s="90" t="n"/>
    </row>
    <row r="125" ht="18" customHeight="1" s="62">
      <c r="A125" s="4" t="n"/>
      <c r="B125" s="4" t="n"/>
      <c r="C125" s="4" t="n"/>
      <c r="D125" s="88" t="n"/>
      <c r="E125" s="88" t="n"/>
      <c r="F125" s="88" t="n"/>
      <c r="G125" s="88" t="n"/>
      <c r="H125" s="89" t="n"/>
      <c r="I125" s="88" t="n"/>
      <c r="J125" s="88" t="n"/>
      <c r="K125" s="88" t="n"/>
    </row>
    <row r="126" ht="18" customHeight="1" s="62">
      <c r="A126" s="5" t="n"/>
      <c r="B126" s="5" t="n"/>
      <c r="C126" s="5" t="n"/>
      <c r="D126" s="90" t="n"/>
      <c r="E126" s="90" t="n"/>
      <c r="F126" s="90" t="n"/>
      <c r="G126" s="90" t="n"/>
      <c r="H126" s="91" t="n"/>
      <c r="I126" s="90" t="n"/>
      <c r="J126" s="90" t="n"/>
      <c r="K126" s="90" t="n"/>
    </row>
    <row r="127" ht="18" customHeight="1" s="62">
      <c r="A127" s="4" t="n"/>
      <c r="B127" s="4" t="n"/>
      <c r="C127" s="4" t="n"/>
      <c r="D127" s="88" t="n"/>
      <c r="E127" s="88" t="n"/>
      <c r="F127" s="88" t="n"/>
      <c r="G127" s="88" t="n"/>
      <c r="H127" s="89" t="n"/>
      <c r="I127" s="88" t="n"/>
      <c r="J127" s="88" t="n"/>
      <c r="K127" s="88" t="n"/>
    </row>
    <row r="128" ht="18" customHeight="1" s="62">
      <c r="A128" s="5" t="n"/>
      <c r="B128" s="5" t="n"/>
      <c r="C128" s="5" t="n"/>
      <c r="D128" s="90" t="n"/>
      <c r="E128" s="90" t="n"/>
      <c r="F128" s="90" t="n"/>
      <c r="G128" s="90" t="n"/>
      <c r="H128" s="91" t="n"/>
      <c r="I128" s="90" t="n"/>
      <c r="J128" s="90" t="n"/>
      <c r="K128" s="90" t="n"/>
    </row>
    <row r="129" ht="18" customHeight="1" s="62">
      <c r="A129" s="2" t="inlineStr">
        <is>
          <t>SW 14</t>
        </is>
      </c>
      <c r="B129" s="11">
        <f>Ferien!$F$29</f>
        <v/>
      </c>
      <c r="C129" s="3" t="inlineStr">
        <is>
          <t>SW 14</t>
        </is>
      </c>
      <c r="D129" s="86">
        <f>TEXT(B129,"TT.MM.")&amp;" – "&amp;TEXT(B129+4,"TT.MM.JJJJ")</f>
        <v/>
      </c>
      <c r="E129" s="87" t="n"/>
      <c r="F129" s="87" t="n"/>
      <c r="G129" s="87" t="n"/>
      <c r="H129" s="87" t="n"/>
      <c r="I129" s="87" t="n"/>
      <c r="J129" s="87" t="n"/>
      <c r="K129" s="87" t="n"/>
    </row>
    <row r="130" ht="18" customHeight="1" s="62">
      <c r="A130" s="4" t="n"/>
      <c r="B130" s="4" t="n"/>
      <c r="C130" s="4" t="n"/>
      <c r="D130" s="90" t="n"/>
      <c r="E130" s="90" t="n"/>
      <c r="F130" s="90" t="n"/>
      <c r="G130" s="90" t="n"/>
      <c r="H130" s="91" t="n"/>
      <c r="I130" s="90" t="n"/>
      <c r="J130" s="90" t="n"/>
      <c r="K130" s="90" t="n"/>
    </row>
    <row r="131" ht="18" customHeight="1" s="62">
      <c r="A131" s="5" t="n"/>
      <c r="B131" s="5" t="n"/>
      <c r="C131" s="5" t="n"/>
      <c r="D131" s="88" t="n"/>
      <c r="E131" s="88" t="n"/>
      <c r="F131" s="88" t="n"/>
      <c r="G131" s="88" t="n"/>
      <c r="H131" s="89" t="n"/>
      <c r="I131" s="88" t="n"/>
      <c r="J131" s="88" t="n"/>
      <c r="K131" s="88" t="n"/>
    </row>
    <row r="132" ht="18" customHeight="1" s="62">
      <c r="A132" s="4" t="n"/>
      <c r="B132" s="4" t="n"/>
      <c r="C132" s="4" t="n"/>
      <c r="D132" s="90" t="n"/>
      <c r="E132" s="90" t="n"/>
      <c r="F132" s="90" t="n"/>
      <c r="G132" s="90" t="n"/>
      <c r="H132" s="91" t="n"/>
      <c r="I132" s="90" t="n"/>
      <c r="J132" s="90" t="n"/>
      <c r="K132" s="90" t="n"/>
    </row>
    <row r="133" ht="18" customHeight="1" s="62">
      <c r="A133" s="5" t="n"/>
      <c r="B133" s="5" t="n"/>
      <c r="C133" s="5" t="n"/>
      <c r="D133" s="88" t="n"/>
      <c r="E133" s="88" t="n"/>
      <c r="F133" s="88" t="n"/>
      <c r="G133" s="88" t="n"/>
      <c r="H133" s="89" t="n"/>
      <c r="I133" s="88" t="n"/>
      <c r="J133" s="88" t="n"/>
      <c r="K133" s="88" t="n"/>
    </row>
    <row r="134" ht="18" customHeight="1" s="62">
      <c r="A134" s="4" t="n"/>
      <c r="B134" s="4" t="n"/>
      <c r="C134" s="4" t="n"/>
      <c r="D134" s="90" t="n"/>
      <c r="E134" s="90" t="n"/>
      <c r="F134" s="90" t="n"/>
      <c r="G134" s="90" t="n"/>
      <c r="H134" s="91" t="n"/>
      <c r="I134" s="90" t="n"/>
      <c r="J134" s="90" t="n"/>
      <c r="K134" s="90" t="n"/>
    </row>
    <row r="135" ht="18" customHeight="1" s="62">
      <c r="A135" s="5" t="n"/>
      <c r="B135" s="5" t="n"/>
      <c r="C135" s="5" t="n"/>
      <c r="D135" s="88" t="n"/>
      <c r="E135" s="88" t="n"/>
      <c r="F135" s="88" t="n"/>
      <c r="G135" s="88" t="n"/>
      <c r="H135" s="89" t="n"/>
      <c r="I135" s="88" t="n"/>
      <c r="J135" s="88" t="n"/>
      <c r="K135" s="88" t="n"/>
    </row>
    <row r="136" ht="18" customHeight="1" s="62">
      <c r="A136" s="4" t="n"/>
      <c r="B136" s="4" t="n"/>
      <c r="C136" s="4" t="n"/>
      <c r="D136" s="90" t="n"/>
      <c r="E136" s="90" t="n"/>
      <c r="F136" s="90" t="n"/>
      <c r="G136" s="90" t="n"/>
      <c r="H136" s="91" t="n"/>
      <c r="I136" s="90" t="n"/>
      <c r="J136" s="90" t="n"/>
      <c r="K136" s="90" t="n"/>
    </row>
    <row r="137" ht="18" customHeight="1" s="62">
      <c r="A137" s="5" t="n"/>
      <c r="B137" s="5" t="n"/>
      <c r="C137" s="5" t="n"/>
      <c r="D137" s="88" t="n"/>
      <c r="E137" s="88" t="n"/>
      <c r="F137" s="88" t="n"/>
      <c r="G137" s="88" t="n"/>
      <c r="H137" s="89" t="n"/>
      <c r="I137" s="88" t="n"/>
      <c r="J137" s="88" t="n"/>
      <c r="K137" s="88" t="n"/>
    </row>
    <row r="138" ht="18" customHeight="1" s="62">
      <c r="A138" s="2" t="inlineStr">
        <is>
          <t>SW 15</t>
        </is>
      </c>
      <c r="B138" s="11">
        <f>Ferien!$F$30</f>
        <v/>
      </c>
      <c r="C138" s="3" t="inlineStr">
        <is>
          <t>SW 15</t>
        </is>
      </c>
      <c r="D138" s="86">
        <f>TEXT(B138,"TT.MM.")&amp;" – "&amp;TEXT(B138+4,"TT.MM.JJJJ")</f>
        <v/>
      </c>
      <c r="E138" s="87" t="n"/>
      <c r="F138" s="87" t="n"/>
      <c r="G138" s="87" t="n"/>
      <c r="H138" s="87" t="n"/>
      <c r="I138" s="87" t="n"/>
      <c r="J138" s="87" t="n"/>
      <c r="K138" s="87" t="n"/>
    </row>
    <row r="139" ht="18" customHeight="1" s="62">
      <c r="A139" s="4" t="n"/>
      <c r="B139" s="4" t="n"/>
      <c r="C139" s="4" t="n"/>
      <c r="D139" s="88" t="n"/>
      <c r="E139" s="88" t="n"/>
      <c r="F139" s="88" t="n"/>
      <c r="G139" s="88" t="n"/>
      <c r="H139" s="89" t="n"/>
      <c r="I139" s="88" t="n"/>
      <c r="J139" s="88" t="n"/>
      <c r="K139" s="88" t="n"/>
    </row>
    <row r="140" ht="18" customHeight="1" s="62">
      <c r="A140" s="5" t="n"/>
      <c r="B140" s="5" t="n"/>
      <c r="C140" s="5" t="n"/>
      <c r="D140" s="90" t="n"/>
      <c r="E140" s="90" t="n"/>
      <c r="F140" s="90" t="n"/>
      <c r="G140" s="90" t="n"/>
      <c r="H140" s="91" t="n"/>
      <c r="I140" s="90" t="n"/>
      <c r="J140" s="90" t="n"/>
      <c r="K140" s="90" t="n"/>
    </row>
    <row r="141" ht="18" customHeight="1" s="62">
      <c r="A141" s="4" t="n"/>
      <c r="B141" s="4" t="n"/>
      <c r="C141" s="4" t="n"/>
      <c r="D141" s="88" t="n"/>
      <c r="E141" s="88" t="n"/>
      <c r="F141" s="88" t="n"/>
      <c r="G141" s="88" t="n"/>
      <c r="H141" s="89" t="n"/>
      <c r="I141" s="88" t="n"/>
      <c r="J141" s="88" t="n"/>
      <c r="K141" s="88" t="n"/>
    </row>
    <row r="142" ht="18" customHeight="1" s="62">
      <c r="A142" s="5" t="n"/>
      <c r="B142" s="5" t="n"/>
      <c r="C142" s="5" t="n"/>
      <c r="D142" s="90" t="n"/>
      <c r="E142" s="90" t="n"/>
      <c r="F142" s="90" t="n"/>
      <c r="G142" s="90" t="n"/>
      <c r="H142" s="91" t="n"/>
      <c r="I142" s="90" t="n"/>
      <c r="J142" s="90" t="n"/>
      <c r="K142" s="90" t="n"/>
    </row>
    <row r="143" ht="18" customHeight="1" s="62">
      <c r="A143" s="4" t="n"/>
      <c r="B143" s="4" t="n"/>
      <c r="C143" s="4" t="n"/>
      <c r="D143" s="88" t="n"/>
      <c r="E143" s="88" t="n"/>
      <c r="F143" s="88" t="n"/>
      <c r="G143" s="88" t="n"/>
      <c r="H143" s="89" t="n"/>
      <c r="I143" s="88" t="n"/>
      <c r="J143" s="88" t="n"/>
      <c r="K143" s="88" t="n"/>
    </row>
    <row r="144" ht="18" customHeight="1" s="62">
      <c r="A144" s="5" t="n"/>
      <c r="B144" s="5" t="n"/>
      <c r="C144" s="5" t="n"/>
      <c r="D144" s="90" t="n"/>
      <c r="E144" s="90" t="n"/>
      <c r="F144" s="90" t="n"/>
      <c r="G144" s="90" t="n"/>
      <c r="H144" s="91" t="n"/>
      <c r="I144" s="90" t="n"/>
      <c r="J144" s="90" t="n"/>
      <c r="K144" s="90" t="n"/>
    </row>
    <row r="145" ht="18" customHeight="1" s="62">
      <c r="A145" s="4" t="n"/>
      <c r="B145" s="4" t="n"/>
      <c r="C145" s="4" t="n"/>
      <c r="D145" s="88" t="n"/>
      <c r="E145" s="88" t="n"/>
      <c r="F145" s="88" t="n"/>
      <c r="G145" s="88" t="n"/>
      <c r="H145" s="89" t="n"/>
      <c r="I145" s="88" t="n"/>
      <c r="J145" s="88" t="n"/>
      <c r="K145" s="88" t="n"/>
    </row>
    <row r="146" ht="18" customHeight="1" s="62">
      <c r="A146" s="5" t="n"/>
      <c r="B146" s="5" t="n"/>
      <c r="C146" s="5" t="n"/>
      <c r="D146" s="90" t="n"/>
      <c r="E146" s="90" t="n"/>
      <c r="F146" s="90" t="n"/>
      <c r="G146" s="90" t="n"/>
      <c r="H146" s="91" t="n"/>
      <c r="I146" s="90" t="n"/>
      <c r="J146" s="90" t="n"/>
      <c r="K146" s="90" t="n"/>
    </row>
    <row r="147" ht="18" customHeight="1" s="62">
      <c r="A147" s="6" t="inlineStr">
        <is>
          <t>FERIEN</t>
        </is>
      </c>
      <c r="B147" s="6" t="inlineStr">
        <is>
          <t>2025-12-22</t>
        </is>
      </c>
      <c r="C147" s="6" t="inlineStr">
        <is>
          <t>FERIEN</t>
        </is>
      </c>
      <c r="D147" s="88" t="inlineStr">
        <is>
          <t>22.12.2025 – 02.01.2026</t>
        </is>
      </c>
      <c r="E147" s="88" t="n"/>
      <c r="F147" s="88" t="n"/>
      <c r="G147" s="88" t="n"/>
      <c r="H147" s="89" t="inlineStr">
        <is>
          <t>Weihnachtsferien</t>
        </is>
      </c>
      <c r="I147" s="88" t="inlineStr">
        <is>
          <t>Feiertage/Ferien</t>
        </is>
      </c>
      <c r="J147" s="88" t="n"/>
      <c r="K147" s="88" t="n"/>
    </row>
    <row r="148" ht="18" customHeight="1" s="62">
      <c r="A148" s="2" t="inlineStr">
        <is>
          <t>SW 16</t>
        </is>
      </c>
      <c r="B148" s="11">
        <f>Ferien!$F$31</f>
        <v/>
      </c>
      <c r="C148" s="3" t="inlineStr">
        <is>
          <t>SW 16</t>
        </is>
      </c>
      <c r="D148" s="86">
        <f>TEXT(B148,"TT.MM.")&amp;" – "&amp;TEXT(B148+4,"TT.MM.JJJJ")</f>
        <v/>
      </c>
      <c r="E148" s="87" t="n"/>
      <c r="F148" s="87" t="n"/>
      <c r="G148" s="87" t="n"/>
      <c r="H148" s="87" t="n"/>
      <c r="I148" s="87" t="n"/>
      <c r="J148" s="87" t="n"/>
      <c r="K148" s="87" t="n"/>
    </row>
    <row r="149" ht="18" customHeight="1" s="62">
      <c r="A149" s="4" t="n"/>
      <c r="B149" s="4" t="n"/>
      <c r="C149" s="4" t="n"/>
      <c r="D149" s="88" t="n"/>
      <c r="E149" s="88" t="n"/>
      <c r="F149" s="88" t="n"/>
      <c r="G149" s="88" t="n"/>
      <c r="H149" s="89" t="n"/>
      <c r="I149" s="88" t="n"/>
      <c r="J149" s="88" t="n"/>
      <c r="K149" s="88" t="n"/>
    </row>
    <row r="150" ht="18" customHeight="1" s="62">
      <c r="A150" s="5" t="n"/>
      <c r="B150" s="5" t="n"/>
      <c r="C150" s="5" t="n"/>
      <c r="D150" s="90" t="n"/>
      <c r="E150" s="90" t="n"/>
      <c r="F150" s="90" t="n"/>
      <c r="G150" s="90" t="n"/>
      <c r="H150" s="91" t="n"/>
      <c r="I150" s="90" t="n"/>
      <c r="J150" s="90" t="n"/>
      <c r="K150" s="90" t="n"/>
    </row>
    <row r="151" ht="18" customHeight="1" s="62">
      <c r="A151" s="4" t="n"/>
      <c r="B151" s="4" t="n"/>
      <c r="C151" s="4" t="n"/>
      <c r="D151" s="88" t="n"/>
      <c r="E151" s="88" t="n"/>
      <c r="F151" s="88" t="n"/>
      <c r="G151" s="88" t="n"/>
      <c r="H151" s="89" t="n"/>
      <c r="I151" s="88" t="n"/>
      <c r="J151" s="88" t="n"/>
      <c r="K151" s="88" t="n"/>
    </row>
    <row r="152" ht="18" customHeight="1" s="62">
      <c r="A152" s="5" t="n"/>
      <c r="B152" s="5" t="n"/>
      <c r="C152" s="5" t="n"/>
      <c r="D152" s="90" t="n"/>
      <c r="E152" s="90" t="n"/>
      <c r="F152" s="90" t="n"/>
      <c r="G152" s="90" t="n"/>
      <c r="H152" s="91" t="n"/>
      <c r="I152" s="90" t="n"/>
      <c r="J152" s="90" t="n"/>
      <c r="K152" s="90" t="n"/>
    </row>
    <row r="153" ht="18" customHeight="1" s="62">
      <c r="A153" s="4" t="n"/>
      <c r="B153" s="4" t="n"/>
      <c r="C153" s="4" t="n"/>
      <c r="D153" s="88" t="n"/>
      <c r="E153" s="88" t="n"/>
      <c r="F153" s="88" t="n"/>
      <c r="G153" s="88" t="n"/>
      <c r="H153" s="89" t="n"/>
      <c r="I153" s="88" t="n"/>
      <c r="J153" s="88" t="n"/>
      <c r="K153" s="88" t="n"/>
    </row>
    <row r="154" ht="18" customHeight="1" s="62">
      <c r="A154" s="5" t="n"/>
      <c r="B154" s="5" t="n"/>
      <c r="C154" s="5" t="n"/>
      <c r="D154" s="90" t="n"/>
      <c r="E154" s="90" t="n"/>
      <c r="F154" s="90" t="n"/>
      <c r="G154" s="90" t="n"/>
      <c r="H154" s="91" t="n"/>
      <c r="I154" s="90" t="n"/>
      <c r="J154" s="90" t="n"/>
      <c r="K154" s="90" t="n"/>
    </row>
    <row r="155" ht="18" customHeight="1" s="62">
      <c r="A155" s="4" t="n"/>
      <c r="B155" s="4" t="n"/>
      <c r="C155" s="4" t="n"/>
      <c r="D155" s="88" t="n"/>
      <c r="E155" s="88" t="n"/>
      <c r="F155" s="88" t="n"/>
      <c r="G155" s="88" t="n"/>
      <c r="H155" s="89" t="n"/>
      <c r="I155" s="88" t="n"/>
      <c r="J155" s="88" t="n"/>
      <c r="K155" s="88" t="n"/>
    </row>
    <row r="156" ht="18" customHeight="1" s="62">
      <c r="A156" s="5" t="n"/>
      <c r="B156" s="5" t="n"/>
      <c r="C156" s="5" t="n"/>
      <c r="D156" s="90" t="n"/>
      <c r="E156" s="90" t="n"/>
      <c r="F156" s="90" t="n"/>
      <c r="G156" s="90" t="n"/>
      <c r="H156" s="91" t="n"/>
      <c r="I156" s="90" t="n"/>
      <c r="J156" s="90" t="n"/>
      <c r="K156" s="90" t="n"/>
    </row>
    <row r="157" ht="18" customHeight="1" s="62">
      <c r="A157" s="2" t="inlineStr">
        <is>
          <t>SW 17</t>
        </is>
      </c>
      <c r="B157" s="11">
        <f>Ferien!$F$32</f>
        <v/>
      </c>
      <c r="C157" s="3" t="inlineStr">
        <is>
          <t>SW 17</t>
        </is>
      </c>
      <c r="D157" s="86">
        <f>TEXT(B157,"TT.MM.")&amp;" – "&amp;TEXT(B157+4,"TT.MM.JJJJ")</f>
        <v/>
      </c>
      <c r="E157" s="87" t="n"/>
      <c r="F157" s="87" t="n"/>
      <c r="G157" s="87" t="n"/>
      <c r="H157" s="87" t="n"/>
      <c r="I157" s="87" t="n"/>
      <c r="J157" s="87" t="n"/>
      <c r="K157" s="87" t="n"/>
    </row>
    <row r="158" ht="18" customHeight="1" s="62">
      <c r="A158" s="4" t="n"/>
      <c r="B158" s="4" t="n"/>
      <c r="C158" s="4" t="n"/>
      <c r="D158" s="90" t="n"/>
      <c r="E158" s="90" t="n"/>
      <c r="F158" s="90" t="n"/>
      <c r="G158" s="90" t="n"/>
      <c r="H158" s="91" t="n"/>
      <c r="I158" s="90" t="n"/>
      <c r="J158" s="90" t="n"/>
      <c r="K158" s="90" t="n"/>
    </row>
    <row r="159" ht="18" customHeight="1" s="62">
      <c r="A159" s="5" t="n"/>
      <c r="B159" s="5" t="n"/>
      <c r="C159" s="5" t="n"/>
      <c r="D159" s="88" t="n"/>
      <c r="E159" s="88" t="n"/>
      <c r="F159" s="88" t="n"/>
      <c r="G159" s="88" t="n"/>
      <c r="H159" s="89" t="n"/>
      <c r="I159" s="88" t="n"/>
      <c r="J159" s="88" t="n"/>
      <c r="K159" s="88" t="n"/>
    </row>
    <row r="160" ht="18" customHeight="1" s="62">
      <c r="A160" s="4" t="n"/>
      <c r="B160" s="4" t="n"/>
      <c r="C160" s="4" t="n"/>
      <c r="D160" s="90" t="n"/>
      <c r="E160" s="90" t="n"/>
      <c r="F160" s="90" t="n"/>
      <c r="G160" s="90" t="n"/>
      <c r="H160" s="91" t="n"/>
      <c r="I160" s="90" t="n"/>
      <c r="J160" s="90" t="n"/>
      <c r="K160" s="90" t="n"/>
    </row>
    <row r="161" ht="18" customHeight="1" s="62">
      <c r="A161" s="5" t="n"/>
      <c r="B161" s="5" t="n"/>
      <c r="C161" s="5" t="n"/>
      <c r="D161" s="88" t="n"/>
      <c r="E161" s="88" t="n"/>
      <c r="F161" s="88" t="n"/>
      <c r="G161" s="88" t="n"/>
      <c r="H161" s="89" t="n"/>
      <c r="I161" s="88" t="n"/>
      <c r="J161" s="88" t="n"/>
      <c r="K161" s="88" t="n"/>
    </row>
    <row r="162" ht="18" customHeight="1" s="62">
      <c r="A162" s="4" t="n"/>
      <c r="B162" s="4" t="n"/>
      <c r="C162" s="4" t="n"/>
      <c r="D162" s="90" t="n"/>
      <c r="E162" s="90" t="n"/>
      <c r="F162" s="90" t="n"/>
      <c r="G162" s="90" t="n"/>
      <c r="H162" s="91" t="n"/>
      <c r="I162" s="90" t="n"/>
      <c r="J162" s="90" t="n"/>
      <c r="K162" s="90" t="n"/>
    </row>
    <row r="163" ht="18" customHeight="1" s="62">
      <c r="A163" s="5" t="n"/>
      <c r="B163" s="5" t="n"/>
      <c r="C163" s="5" t="n"/>
      <c r="D163" s="88" t="n"/>
      <c r="E163" s="88" t="n"/>
      <c r="F163" s="88" t="n"/>
      <c r="G163" s="88" t="n"/>
      <c r="H163" s="89" t="n"/>
      <c r="I163" s="88" t="n"/>
      <c r="J163" s="88" t="n"/>
      <c r="K163" s="88" t="n"/>
    </row>
    <row r="164" ht="18" customHeight="1" s="62">
      <c r="A164" s="4" t="n"/>
      <c r="B164" s="4" t="n"/>
      <c r="C164" s="4" t="n"/>
      <c r="D164" s="90" t="n"/>
      <c r="E164" s="90" t="n"/>
      <c r="F164" s="90" t="n"/>
      <c r="G164" s="90" t="n"/>
      <c r="H164" s="91" t="n"/>
      <c r="I164" s="90" t="n"/>
      <c r="J164" s="90" t="n"/>
      <c r="K164" s="90" t="n"/>
    </row>
    <row r="165" ht="18" customHeight="1" s="62">
      <c r="A165" s="5" t="n"/>
      <c r="B165" s="5" t="n"/>
      <c r="C165" s="5" t="n"/>
      <c r="D165" s="88" t="n"/>
      <c r="E165" s="88" t="n"/>
      <c r="F165" s="88" t="n"/>
      <c r="G165" s="88" t="n"/>
      <c r="H165" s="89" t="n"/>
      <c r="I165" s="88" t="n"/>
      <c r="J165" s="88" t="n"/>
      <c r="K165" s="88" t="n"/>
    </row>
    <row r="166" ht="18" customHeight="1" s="62">
      <c r="A166" s="2" t="inlineStr">
        <is>
          <t>SW 18</t>
        </is>
      </c>
      <c r="B166" s="11">
        <f>Ferien!$F$33</f>
        <v/>
      </c>
      <c r="C166" s="3" t="inlineStr">
        <is>
          <t>SW 18</t>
        </is>
      </c>
      <c r="D166" s="86">
        <f>TEXT(B166,"TT.MM.")&amp;" – "&amp;TEXT(B166+4,"TT.MM.JJJJ")</f>
        <v/>
      </c>
      <c r="E166" s="87" t="n"/>
      <c r="F166" s="87" t="n"/>
      <c r="G166" s="87" t="n"/>
      <c r="H166" s="87" t="n"/>
      <c r="I166" s="87" t="n"/>
      <c r="J166" s="87" t="n"/>
      <c r="K166" s="87" t="n"/>
    </row>
    <row r="167" ht="18" customHeight="1" s="62">
      <c r="A167" s="4" t="n"/>
      <c r="B167" s="4" t="n"/>
      <c r="C167" s="4" t="n"/>
      <c r="D167" s="88" t="n"/>
      <c r="E167" s="88" t="n"/>
      <c r="F167" s="88" t="n"/>
      <c r="G167" s="88" t="n"/>
      <c r="H167" s="89" t="n"/>
      <c r="I167" s="88" t="n"/>
      <c r="J167" s="88" t="n"/>
      <c r="K167" s="88" t="n"/>
    </row>
    <row r="168" ht="18" customHeight="1" s="62">
      <c r="A168" s="5" t="n"/>
      <c r="B168" s="5" t="n"/>
      <c r="C168" s="5" t="n"/>
      <c r="D168" s="90" t="n"/>
      <c r="E168" s="90" t="n"/>
      <c r="F168" s="90" t="n"/>
      <c r="G168" s="90" t="n"/>
      <c r="H168" s="91" t="n"/>
      <c r="I168" s="90" t="n"/>
      <c r="J168" s="90" t="n"/>
      <c r="K168" s="90" t="n"/>
    </row>
    <row r="169" ht="18" customHeight="1" s="62">
      <c r="A169" s="4" t="n"/>
      <c r="B169" s="4" t="n"/>
      <c r="C169" s="4" t="n"/>
      <c r="D169" s="88" t="n"/>
      <c r="E169" s="88" t="n"/>
      <c r="F169" s="88" t="n"/>
      <c r="G169" s="88" t="n"/>
      <c r="H169" s="89" t="n"/>
      <c r="I169" s="88" t="n"/>
      <c r="J169" s="88" t="n"/>
      <c r="K169" s="88" t="n"/>
    </row>
    <row r="170" ht="18" customHeight="1" s="62">
      <c r="A170" s="5" t="n"/>
      <c r="B170" s="5" t="n"/>
      <c r="C170" s="5" t="n"/>
      <c r="D170" s="90" t="n"/>
      <c r="E170" s="90" t="n"/>
      <c r="F170" s="90" t="n"/>
      <c r="G170" s="90" t="n"/>
      <c r="H170" s="91" t="n"/>
      <c r="I170" s="90" t="n"/>
      <c r="J170" s="90" t="n"/>
      <c r="K170" s="90" t="n"/>
    </row>
    <row r="171" ht="18" customHeight="1" s="62">
      <c r="A171" s="4" t="n"/>
      <c r="B171" s="4" t="n"/>
      <c r="C171" s="4" t="n"/>
      <c r="D171" s="88" t="n"/>
      <c r="E171" s="88" t="n"/>
      <c r="F171" s="88" t="n"/>
      <c r="G171" s="88" t="n"/>
      <c r="H171" s="89" t="n"/>
      <c r="I171" s="88" t="n"/>
      <c r="J171" s="88" t="n"/>
      <c r="K171" s="88" t="n"/>
    </row>
    <row r="172" ht="18" customHeight="1" s="62">
      <c r="A172" s="5" t="n"/>
      <c r="B172" s="5" t="n"/>
      <c r="C172" s="5" t="n"/>
      <c r="D172" s="90" t="n"/>
      <c r="E172" s="90" t="n"/>
      <c r="F172" s="90" t="n"/>
      <c r="G172" s="90" t="n"/>
      <c r="H172" s="91" t="n"/>
      <c r="I172" s="90" t="n"/>
      <c r="J172" s="90" t="n"/>
      <c r="K172" s="90" t="n"/>
    </row>
    <row r="173" ht="18" customHeight="1" s="62">
      <c r="A173" s="4" t="n"/>
      <c r="B173" s="4" t="n"/>
      <c r="C173" s="4" t="n"/>
      <c r="D173" s="88" t="n"/>
      <c r="E173" s="88" t="n"/>
      <c r="F173" s="88" t="n"/>
      <c r="G173" s="88" t="n"/>
      <c r="H173" s="89" t="n"/>
      <c r="I173" s="88" t="n"/>
      <c r="J173" s="88" t="n"/>
      <c r="K173" s="88" t="n"/>
    </row>
    <row r="174" ht="18" customHeight="1" s="62">
      <c r="A174" s="5" t="n"/>
      <c r="B174" s="5" t="n"/>
      <c r="C174" s="5" t="n"/>
      <c r="D174" s="90" t="n"/>
      <c r="E174" s="90" t="n"/>
      <c r="F174" s="90" t="n"/>
      <c r="G174" s="90" t="n"/>
      <c r="H174" s="91" t="n"/>
      <c r="I174" s="90" t="n"/>
      <c r="J174" s="90" t="n"/>
      <c r="K174" s="90" t="n"/>
    </row>
    <row r="175" ht="18" customHeight="1" s="62">
      <c r="A175" s="2" t="inlineStr">
        <is>
          <t>SW 19</t>
        </is>
      </c>
      <c r="B175" s="11">
        <f>Ferien!$F$34</f>
        <v/>
      </c>
      <c r="C175" s="3" t="inlineStr">
        <is>
          <t>SW 19</t>
        </is>
      </c>
      <c r="D175" s="86">
        <f>TEXT(B175,"TT.MM.")&amp;" – "&amp;TEXT(B175+4,"TT.MM.JJJJ")</f>
        <v/>
      </c>
      <c r="E175" s="87" t="n"/>
      <c r="F175" s="87" t="n"/>
      <c r="G175" s="87" t="n"/>
      <c r="H175" s="87" t="n"/>
      <c r="I175" s="87" t="n"/>
      <c r="J175" s="87" t="n"/>
      <c r="K175" s="87" t="n"/>
    </row>
    <row r="176" ht="18" customHeight="1" s="62">
      <c r="A176" s="4" t="n"/>
      <c r="B176" s="4" t="n"/>
      <c r="C176" s="4" t="n"/>
      <c r="D176" s="90" t="n"/>
      <c r="E176" s="90" t="n"/>
      <c r="F176" s="90" t="n"/>
      <c r="G176" s="90" t="n"/>
      <c r="H176" s="91" t="n"/>
      <c r="I176" s="90" t="n"/>
      <c r="J176" s="90" t="n"/>
      <c r="K176" s="90" t="n"/>
    </row>
    <row r="177" ht="18" customHeight="1" s="62">
      <c r="A177" s="5" t="n"/>
      <c r="B177" s="5" t="n"/>
      <c r="C177" s="5" t="n"/>
      <c r="D177" s="88" t="n"/>
      <c r="E177" s="88" t="n"/>
      <c r="F177" s="88" t="n"/>
      <c r="G177" s="88" t="n"/>
      <c r="H177" s="89" t="n"/>
      <c r="I177" s="88" t="n"/>
      <c r="J177" s="88" t="n"/>
      <c r="K177" s="88" t="n"/>
    </row>
    <row r="178" ht="18" customHeight="1" s="62">
      <c r="A178" s="4" t="n"/>
      <c r="B178" s="4" t="n"/>
      <c r="C178" s="4" t="n"/>
      <c r="D178" s="90" t="n"/>
      <c r="E178" s="90" t="n"/>
      <c r="F178" s="90" t="n"/>
      <c r="G178" s="90" t="n"/>
      <c r="H178" s="91" t="n"/>
      <c r="I178" s="90" t="n"/>
      <c r="J178" s="90" t="n"/>
      <c r="K178" s="90" t="n"/>
    </row>
    <row r="179" ht="18" customHeight="1" s="62">
      <c r="A179" s="5" t="n"/>
      <c r="B179" s="5" t="n"/>
      <c r="C179" s="5" t="n"/>
      <c r="D179" s="88" t="n"/>
      <c r="E179" s="88" t="n"/>
      <c r="F179" s="88" t="n"/>
      <c r="G179" s="88" t="n"/>
      <c r="H179" s="89" t="n"/>
      <c r="I179" s="88" t="n"/>
      <c r="J179" s="88" t="n"/>
      <c r="K179" s="88" t="n"/>
    </row>
    <row r="180" ht="18" customHeight="1" s="62">
      <c r="A180" s="4" t="n"/>
      <c r="B180" s="4" t="n"/>
      <c r="C180" s="4" t="n"/>
      <c r="D180" s="90" t="n"/>
      <c r="E180" s="90" t="n"/>
      <c r="F180" s="90" t="n"/>
      <c r="G180" s="90" t="n"/>
      <c r="H180" s="91" t="n"/>
      <c r="I180" s="90" t="n"/>
      <c r="J180" s="90" t="n"/>
      <c r="K180" s="90" t="n"/>
    </row>
    <row r="181" ht="18" customHeight="1" s="62">
      <c r="A181" s="5" t="n"/>
      <c r="B181" s="5" t="n"/>
      <c r="C181" s="5" t="n"/>
      <c r="D181" s="88" t="n"/>
      <c r="E181" s="88" t="n"/>
      <c r="F181" s="88" t="n"/>
      <c r="G181" s="88" t="n"/>
      <c r="H181" s="89" t="n"/>
      <c r="I181" s="88" t="n"/>
      <c r="J181" s="88" t="n"/>
      <c r="K181" s="88" t="n"/>
    </row>
    <row r="182" ht="18" customHeight="1" s="62">
      <c r="A182" s="4" t="n"/>
      <c r="B182" s="4" t="n"/>
      <c r="C182" s="4" t="n"/>
      <c r="D182" s="90" t="n"/>
      <c r="E182" s="90" t="n"/>
      <c r="F182" s="90" t="n"/>
      <c r="G182" s="90" t="n"/>
      <c r="H182" s="91" t="n"/>
      <c r="I182" s="90" t="n"/>
      <c r="J182" s="90" t="n"/>
      <c r="K182" s="90" t="n"/>
    </row>
    <row r="183" ht="18" customHeight="1" s="62">
      <c r="A183" s="5" t="n"/>
      <c r="B183" s="5" t="n"/>
      <c r="C183" s="5" t="n"/>
      <c r="D183" s="88" t="n"/>
      <c r="E183" s="88" t="n"/>
      <c r="F183" s="88" t="n"/>
      <c r="G183" s="88" t="n"/>
      <c r="H183" s="89" t="n"/>
      <c r="I183" s="88" t="n"/>
      <c r="J183" s="88" t="n"/>
      <c r="K183" s="88" t="n"/>
    </row>
    <row r="184" ht="18" customHeight="1" s="62">
      <c r="A184" s="2" t="inlineStr">
        <is>
          <t>SW 20</t>
        </is>
      </c>
      <c r="B184" s="11">
        <f>Ferien!$F$35</f>
        <v/>
      </c>
      <c r="C184" s="3" t="inlineStr">
        <is>
          <t>SW 20</t>
        </is>
      </c>
      <c r="D184" s="86">
        <f>TEXT(B184,"TT.MM.")&amp;" – "&amp;TEXT(B184+4,"TT.MM.JJJJ")</f>
        <v/>
      </c>
      <c r="E184" s="87" t="n"/>
      <c r="F184" s="87" t="n"/>
      <c r="G184" s="87" t="n"/>
      <c r="H184" s="87" t="n"/>
      <c r="I184" s="87" t="n"/>
      <c r="J184" s="87" t="n"/>
      <c r="K184" s="87" t="n"/>
    </row>
    <row r="185" ht="18" customHeight="1" s="62">
      <c r="A185" s="4" t="n"/>
      <c r="B185" s="4" t="n"/>
      <c r="C185" s="4" t="n"/>
      <c r="D185" s="88" t="n"/>
      <c r="E185" s="88" t="n"/>
      <c r="F185" s="88" t="n"/>
      <c r="G185" s="88" t="n"/>
      <c r="H185" s="89" t="n"/>
      <c r="I185" s="88" t="n"/>
      <c r="J185" s="88" t="n"/>
      <c r="K185" s="88" t="n"/>
    </row>
    <row r="186" ht="18" customHeight="1" s="62">
      <c r="A186" s="5" t="n"/>
      <c r="B186" s="5" t="n"/>
      <c r="C186" s="5" t="n"/>
      <c r="D186" s="90" t="n"/>
      <c r="E186" s="90" t="n"/>
      <c r="F186" s="90" t="n"/>
      <c r="G186" s="90" t="n"/>
      <c r="H186" s="91" t="n"/>
      <c r="I186" s="90" t="n"/>
      <c r="J186" s="90" t="n"/>
      <c r="K186" s="90" t="n"/>
    </row>
    <row r="187" ht="18" customHeight="1" s="62">
      <c r="A187" s="4" t="n"/>
      <c r="B187" s="4" t="n"/>
      <c r="C187" s="4" t="n"/>
      <c r="D187" s="88" t="n"/>
      <c r="E187" s="88" t="n"/>
      <c r="F187" s="88" t="n"/>
      <c r="G187" s="88" t="n"/>
      <c r="H187" s="89" t="n"/>
      <c r="I187" s="88" t="n"/>
      <c r="J187" s="88" t="n"/>
      <c r="K187" s="88" t="n"/>
    </row>
    <row r="188" ht="18" customHeight="1" s="62">
      <c r="A188" s="5" t="n"/>
      <c r="B188" s="5" t="n"/>
      <c r="C188" s="5" t="n"/>
      <c r="D188" s="90" t="n"/>
      <c r="E188" s="90" t="n"/>
      <c r="F188" s="90" t="n"/>
      <c r="G188" s="90" t="n"/>
      <c r="H188" s="91" t="n"/>
      <c r="I188" s="90" t="n"/>
      <c r="J188" s="90" t="n"/>
      <c r="K188" s="90" t="n"/>
    </row>
    <row r="189" ht="18" customHeight="1" s="62">
      <c r="A189" s="4" t="n"/>
      <c r="B189" s="4" t="n"/>
      <c r="C189" s="4" t="n"/>
      <c r="D189" s="88" t="n"/>
      <c r="E189" s="88" t="n"/>
      <c r="F189" s="88" t="n"/>
      <c r="G189" s="88" t="n"/>
      <c r="H189" s="89" t="n"/>
      <c r="I189" s="88" t="n"/>
      <c r="J189" s="88" t="n"/>
      <c r="K189" s="88" t="n"/>
    </row>
    <row r="190" ht="18" customHeight="1" s="62">
      <c r="A190" s="5" t="n"/>
      <c r="B190" s="5" t="n"/>
      <c r="C190" s="5" t="n"/>
      <c r="D190" s="90" t="n"/>
      <c r="E190" s="90" t="n"/>
      <c r="F190" s="90" t="n"/>
      <c r="G190" s="90" t="n"/>
      <c r="H190" s="91" t="n"/>
      <c r="I190" s="90" t="n"/>
      <c r="J190" s="90" t="n"/>
      <c r="K190" s="90" t="n"/>
    </row>
    <row r="191" ht="18" customHeight="1" s="62">
      <c r="A191" s="4" t="n"/>
      <c r="B191" s="4" t="n"/>
      <c r="C191" s="4" t="n"/>
      <c r="D191" s="88" t="n"/>
      <c r="E191" s="88" t="n"/>
      <c r="F191" s="88" t="n"/>
      <c r="G191" s="88" t="n"/>
      <c r="H191" s="89" t="n"/>
      <c r="I191" s="88" t="n"/>
      <c r="J191" s="88" t="n"/>
      <c r="K191" s="88" t="n"/>
    </row>
    <row r="192" ht="18" customHeight="1" s="62">
      <c r="A192" s="5" t="n"/>
      <c r="B192" s="5" t="n"/>
      <c r="C192" s="5" t="n"/>
      <c r="D192" s="90" t="n"/>
      <c r="E192" s="90" t="n"/>
      <c r="F192" s="90" t="n"/>
      <c r="G192" s="90" t="n"/>
      <c r="H192" s="91" t="n"/>
      <c r="I192" s="90" t="n"/>
      <c r="J192" s="90" t="n"/>
      <c r="K192" s="90" t="n"/>
    </row>
    <row r="193" ht="18" customHeight="1" s="62">
      <c r="A193" s="2" t="inlineStr">
        <is>
          <t>SW 21</t>
        </is>
      </c>
      <c r="B193" s="11">
        <f>Ferien!$F$36</f>
        <v/>
      </c>
      <c r="C193" s="3" t="inlineStr">
        <is>
          <t>SW 21</t>
        </is>
      </c>
      <c r="D193" s="86">
        <f>TEXT(B193,"TT.MM.")&amp;" – "&amp;TEXT(B193+4,"TT.MM.JJJJ")</f>
        <v/>
      </c>
      <c r="E193" s="87" t="n"/>
      <c r="F193" s="87" t="n"/>
      <c r="G193" s="87" t="n"/>
      <c r="H193" s="87" t="n"/>
      <c r="I193" s="87" t="n"/>
      <c r="J193" s="87" t="n"/>
      <c r="K193" s="87" t="n"/>
    </row>
    <row r="194" ht="18" customHeight="1" s="62">
      <c r="A194" s="4" t="n"/>
      <c r="B194" s="4" t="n"/>
      <c r="C194" s="4" t="n"/>
      <c r="D194" s="90" t="n"/>
      <c r="E194" s="90" t="n"/>
      <c r="F194" s="90" t="n"/>
      <c r="G194" s="90" t="n"/>
      <c r="H194" s="91" t="n"/>
      <c r="I194" s="90" t="n"/>
      <c r="J194" s="90" t="n"/>
      <c r="K194" s="90" t="n"/>
    </row>
    <row r="195" ht="18" customHeight="1" s="62">
      <c r="A195" s="5" t="n"/>
      <c r="B195" s="5" t="n"/>
      <c r="C195" s="5" t="n"/>
      <c r="D195" s="88" t="n"/>
      <c r="E195" s="88" t="n"/>
      <c r="F195" s="88" t="n"/>
      <c r="G195" s="88" t="n"/>
      <c r="H195" s="89" t="n"/>
      <c r="I195" s="88" t="n"/>
      <c r="J195" s="88" t="n"/>
      <c r="K195" s="88" t="n"/>
    </row>
    <row r="196" ht="18" customHeight="1" s="62">
      <c r="A196" s="4" t="n"/>
      <c r="B196" s="4" t="n"/>
      <c r="C196" s="4" t="n"/>
      <c r="D196" s="90" t="n"/>
      <c r="E196" s="90" t="n"/>
      <c r="F196" s="90" t="n"/>
      <c r="G196" s="90" t="n"/>
      <c r="H196" s="91" t="n"/>
      <c r="I196" s="90" t="n"/>
      <c r="J196" s="90" t="n"/>
      <c r="K196" s="90" t="n"/>
    </row>
    <row r="197" ht="18" customHeight="1" s="62">
      <c r="A197" s="5" t="n"/>
      <c r="B197" s="5" t="n"/>
      <c r="C197" s="5" t="n"/>
      <c r="D197" s="88" t="n"/>
      <c r="E197" s="88" t="n"/>
      <c r="F197" s="88" t="n"/>
      <c r="G197" s="88" t="n"/>
      <c r="H197" s="89" t="n"/>
      <c r="I197" s="88" t="n"/>
      <c r="J197" s="88" t="n"/>
      <c r="K197" s="88" t="n"/>
    </row>
    <row r="198" ht="18" customHeight="1" s="62">
      <c r="A198" s="4" t="n"/>
      <c r="B198" s="4" t="n"/>
      <c r="C198" s="4" t="n"/>
      <c r="D198" s="90" t="n"/>
      <c r="E198" s="90" t="n"/>
      <c r="F198" s="90" t="n"/>
      <c r="G198" s="90" t="n"/>
      <c r="H198" s="91" t="n"/>
      <c r="I198" s="90" t="n"/>
      <c r="J198" s="90" t="n"/>
      <c r="K198" s="90" t="n"/>
    </row>
    <row r="199" ht="18" customHeight="1" s="62">
      <c r="A199" s="5" t="n"/>
      <c r="B199" s="5" t="n"/>
      <c r="C199" s="5" t="n"/>
      <c r="D199" s="88" t="n"/>
      <c r="E199" s="88" t="n"/>
      <c r="F199" s="88" t="n"/>
      <c r="G199" s="88" t="n"/>
      <c r="H199" s="89" t="n"/>
      <c r="I199" s="88" t="n"/>
      <c r="J199" s="88" t="n"/>
      <c r="K199" s="88" t="n"/>
    </row>
    <row r="200" ht="18" customHeight="1" s="62">
      <c r="A200" s="4" t="n"/>
      <c r="B200" s="4" t="n"/>
      <c r="C200" s="4" t="n"/>
      <c r="D200" s="90" t="n"/>
      <c r="E200" s="90" t="n"/>
      <c r="F200" s="90" t="n"/>
      <c r="G200" s="90" t="n"/>
      <c r="H200" s="91" t="n"/>
      <c r="I200" s="90" t="n"/>
      <c r="J200" s="90" t="n"/>
      <c r="K200" s="90" t="n"/>
    </row>
    <row r="201" ht="18" customHeight="1" s="62">
      <c r="A201" s="5" t="n"/>
      <c r="B201" s="5" t="n"/>
      <c r="C201" s="5" t="n"/>
      <c r="D201" s="88" t="n"/>
      <c r="E201" s="88" t="n"/>
      <c r="F201" s="88" t="n"/>
      <c r="G201" s="88" t="n"/>
      <c r="H201" s="89" t="n"/>
      <c r="I201" s="88" t="n"/>
      <c r="J201" s="88" t="n"/>
      <c r="K201" s="88" t="n"/>
    </row>
    <row r="202" ht="18" customHeight="1" s="62">
      <c r="A202" s="2" t="inlineStr">
        <is>
          <t>SW 22</t>
        </is>
      </c>
      <c r="B202" s="11">
        <f>Ferien!$F$37</f>
        <v/>
      </c>
      <c r="C202" s="3" t="inlineStr">
        <is>
          <t>SW 22</t>
        </is>
      </c>
      <c r="D202" s="86">
        <f>TEXT(B202,"TT.MM.")&amp;" – "&amp;TEXT(B202+4,"TT.MM.JJJJ")</f>
        <v/>
      </c>
      <c r="E202" s="87" t="n"/>
      <c r="F202" s="87" t="n"/>
      <c r="G202" s="87" t="n"/>
      <c r="H202" s="87" t="n"/>
      <c r="I202" s="87" t="n"/>
      <c r="J202" s="87" t="n"/>
      <c r="K202" s="87" t="n"/>
    </row>
    <row r="203" ht="18" customHeight="1" s="62">
      <c r="A203" s="4" t="n"/>
      <c r="B203" s="4" t="n"/>
      <c r="C203" s="4" t="n"/>
      <c r="D203" s="88" t="n"/>
      <c r="E203" s="88" t="n"/>
      <c r="F203" s="88" t="n"/>
      <c r="G203" s="88" t="n"/>
      <c r="H203" s="89" t="n"/>
      <c r="I203" s="88" t="n"/>
      <c r="J203" s="88" t="n"/>
      <c r="K203" s="88" t="n"/>
    </row>
    <row r="204" ht="18" customHeight="1" s="62">
      <c r="A204" s="5" t="n"/>
      <c r="B204" s="5" t="n"/>
      <c r="C204" s="5" t="n"/>
      <c r="D204" s="90" t="n"/>
      <c r="E204" s="90" t="n"/>
      <c r="F204" s="90" t="n"/>
      <c r="G204" s="90" t="n"/>
      <c r="H204" s="91" t="n"/>
      <c r="I204" s="90" t="n"/>
      <c r="J204" s="90" t="n"/>
      <c r="K204" s="90" t="n"/>
    </row>
    <row r="205" ht="18" customHeight="1" s="62">
      <c r="A205" s="4" t="n"/>
      <c r="B205" s="4" t="n"/>
      <c r="C205" s="4" t="n"/>
      <c r="D205" s="88" t="n"/>
      <c r="E205" s="88" t="n"/>
      <c r="F205" s="88" t="n"/>
      <c r="G205" s="88" t="n"/>
      <c r="H205" s="89" t="n"/>
      <c r="I205" s="88" t="n"/>
      <c r="J205" s="88" t="n"/>
      <c r="K205" s="88" t="n"/>
    </row>
    <row r="206" ht="18" customHeight="1" s="62">
      <c r="A206" s="5" t="n"/>
      <c r="B206" s="5" t="n"/>
      <c r="C206" s="5" t="n"/>
      <c r="D206" s="90" t="n"/>
      <c r="E206" s="90" t="n"/>
      <c r="F206" s="90" t="n"/>
      <c r="G206" s="90" t="n"/>
      <c r="H206" s="91" t="n"/>
      <c r="I206" s="90" t="n"/>
      <c r="J206" s="90" t="n"/>
      <c r="K206" s="90" t="n"/>
    </row>
    <row r="207" ht="18" customHeight="1" s="62">
      <c r="A207" s="4" t="n"/>
      <c r="B207" s="4" t="n"/>
      <c r="C207" s="4" t="n"/>
      <c r="D207" s="88" t="n"/>
      <c r="E207" s="88" t="n"/>
      <c r="F207" s="88" t="n"/>
      <c r="G207" s="88" t="n"/>
      <c r="H207" s="89" t="n"/>
      <c r="I207" s="88" t="n"/>
      <c r="J207" s="88" t="n"/>
      <c r="K207" s="88" t="n"/>
    </row>
    <row r="208" ht="18" customHeight="1" s="62">
      <c r="A208" s="5" t="n"/>
      <c r="B208" s="5" t="n"/>
      <c r="C208" s="5" t="n"/>
      <c r="D208" s="90" t="n"/>
      <c r="E208" s="90" t="n"/>
      <c r="F208" s="90" t="n"/>
      <c r="G208" s="90" t="n"/>
      <c r="H208" s="91" t="n"/>
      <c r="I208" s="90" t="n"/>
      <c r="J208" s="90" t="n"/>
      <c r="K208" s="90" t="n"/>
    </row>
    <row r="209" ht="18" customHeight="1" s="62">
      <c r="A209" s="4" t="n"/>
      <c r="B209" s="4" t="n"/>
      <c r="C209" s="4" t="n"/>
      <c r="D209" s="88" t="n"/>
      <c r="E209" s="88" t="n"/>
      <c r="F209" s="88" t="n"/>
      <c r="G209" s="88" t="n"/>
      <c r="H209" s="89" t="n"/>
      <c r="I209" s="88" t="n"/>
      <c r="J209" s="88" t="n"/>
      <c r="K209" s="88" t="n"/>
    </row>
    <row r="210" ht="18" customHeight="1" s="62">
      <c r="A210" s="5" t="n"/>
      <c r="B210" s="5" t="n"/>
      <c r="C210" s="5" t="n"/>
      <c r="D210" s="90" t="n"/>
      <c r="E210" s="90" t="n"/>
      <c r="F210" s="90" t="n"/>
      <c r="G210" s="90" t="n"/>
      <c r="H210" s="91" t="n"/>
      <c r="I210" s="90" t="n"/>
      <c r="J210" s="90" t="n"/>
      <c r="K210" s="90" t="n"/>
    </row>
    <row r="211" ht="18" customHeight="1" s="62">
      <c r="A211" s="2" t="inlineStr">
        <is>
          <t>SW 23</t>
        </is>
      </c>
      <c r="B211" s="11">
        <f>Ferien!$F$38</f>
        <v/>
      </c>
      <c r="C211" s="3" t="inlineStr">
        <is>
          <t>SW 23</t>
        </is>
      </c>
      <c r="D211" s="86">
        <f>TEXT(B211,"TT.MM.")&amp;" – "&amp;TEXT(B211+4,"TT.MM.JJJJ")</f>
        <v/>
      </c>
      <c r="E211" s="87" t="n"/>
      <c r="F211" s="87" t="n"/>
      <c r="G211" s="87" t="n"/>
      <c r="H211" s="87" t="n"/>
      <c r="I211" s="87" t="n"/>
      <c r="J211" s="87" t="n"/>
      <c r="K211" s="87" t="n"/>
    </row>
    <row r="212" ht="18" customHeight="1" s="62">
      <c r="A212" s="4" t="n"/>
      <c r="B212" s="4" t="n"/>
      <c r="C212" s="4" t="n"/>
      <c r="D212" s="90" t="n"/>
      <c r="E212" s="90" t="n"/>
      <c r="F212" s="90" t="n"/>
      <c r="G212" s="90" t="n"/>
      <c r="H212" s="91" t="n"/>
      <c r="I212" s="90" t="n"/>
      <c r="J212" s="90" t="n"/>
      <c r="K212" s="90" t="n"/>
    </row>
    <row r="213" ht="18" customHeight="1" s="62">
      <c r="A213" s="5" t="n"/>
      <c r="B213" s="5" t="n"/>
      <c r="C213" s="5" t="n"/>
      <c r="D213" s="88" t="n"/>
      <c r="E213" s="88" t="n"/>
      <c r="F213" s="88" t="n"/>
      <c r="G213" s="88" t="n"/>
      <c r="H213" s="89" t="n"/>
      <c r="I213" s="88" t="n"/>
      <c r="J213" s="88" t="n"/>
      <c r="K213" s="88" t="n"/>
    </row>
    <row r="214" ht="18" customHeight="1" s="62">
      <c r="A214" s="4" t="n"/>
      <c r="B214" s="4" t="n"/>
      <c r="C214" s="4" t="n"/>
      <c r="D214" s="90" t="n"/>
      <c r="E214" s="90" t="n"/>
      <c r="F214" s="90" t="n"/>
      <c r="G214" s="90" t="n"/>
      <c r="H214" s="91" t="n"/>
      <c r="I214" s="90" t="n"/>
      <c r="J214" s="90" t="n"/>
      <c r="K214" s="90" t="n"/>
    </row>
    <row r="215" ht="18" customHeight="1" s="62">
      <c r="A215" s="5" t="n"/>
      <c r="B215" s="5" t="n"/>
      <c r="C215" s="5" t="n"/>
      <c r="D215" s="88" t="n"/>
      <c r="E215" s="88" t="n"/>
      <c r="F215" s="88" t="n"/>
      <c r="G215" s="88" t="n"/>
      <c r="H215" s="89" t="n"/>
      <c r="I215" s="88" t="n"/>
      <c r="J215" s="88" t="n"/>
      <c r="K215" s="88" t="n"/>
    </row>
    <row r="216" ht="18" customHeight="1" s="62">
      <c r="A216" s="4" t="n"/>
      <c r="B216" s="4" t="n"/>
      <c r="C216" s="4" t="n"/>
      <c r="D216" s="90" t="n"/>
      <c r="E216" s="90" t="n"/>
      <c r="F216" s="90" t="n"/>
      <c r="G216" s="90" t="n"/>
      <c r="H216" s="91" t="n"/>
      <c r="I216" s="90" t="n"/>
      <c r="J216" s="90" t="n"/>
      <c r="K216" s="90" t="n"/>
    </row>
    <row r="217" ht="18" customHeight="1" s="62">
      <c r="A217" s="5" t="n"/>
      <c r="B217" s="5" t="n"/>
      <c r="C217" s="5" t="n"/>
      <c r="D217" s="88" t="n"/>
      <c r="E217" s="88" t="n"/>
      <c r="F217" s="88" t="n"/>
      <c r="G217" s="88" t="n"/>
      <c r="H217" s="89" t="n"/>
      <c r="I217" s="88" t="n"/>
      <c r="J217" s="88" t="n"/>
      <c r="K217" s="88" t="n"/>
    </row>
    <row r="218" ht="18" customHeight="1" s="62">
      <c r="A218" s="4" t="n"/>
      <c r="B218" s="4" t="n"/>
      <c r="C218" s="4" t="n"/>
      <c r="D218" s="90" t="n"/>
      <c r="E218" s="90" t="n"/>
      <c r="F218" s="90" t="n"/>
      <c r="G218" s="90" t="n"/>
      <c r="H218" s="91" t="n"/>
      <c r="I218" s="90" t="n"/>
      <c r="J218" s="90" t="n"/>
      <c r="K218" s="90" t="n"/>
    </row>
    <row r="219" ht="18" customHeight="1" s="62">
      <c r="A219" s="5" t="n"/>
      <c r="B219" s="5" t="n"/>
      <c r="C219" s="5" t="n"/>
      <c r="D219" s="88" t="n"/>
      <c r="E219" s="88" t="n"/>
      <c r="F219" s="88" t="n"/>
      <c r="G219" s="88" t="n"/>
      <c r="H219" s="89" t="n"/>
      <c r="I219" s="88" t="n"/>
      <c r="J219" s="88" t="n"/>
      <c r="K219" s="88" t="n"/>
    </row>
    <row r="220" ht="18" customHeight="1" s="62">
      <c r="A220" s="2" t="inlineStr">
        <is>
          <t>SW 24</t>
        </is>
      </c>
      <c r="B220" s="11">
        <f>Ferien!$F$39</f>
        <v/>
      </c>
      <c r="C220" s="3" t="inlineStr">
        <is>
          <t>SW 24</t>
        </is>
      </c>
      <c r="D220" s="86">
        <f>TEXT(B220,"TT.MM.")&amp;" – "&amp;TEXT(B220+4,"TT.MM.JJJJ")</f>
        <v/>
      </c>
      <c r="E220" s="87" t="n"/>
      <c r="F220" s="87" t="n"/>
      <c r="G220" s="87" t="n"/>
      <c r="H220" s="87" t="n"/>
      <c r="I220" s="87" t="n"/>
      <c r="J220" s="87" t="n"/>
      <c r="K220" s="87" t="n"/>
    </row>
    <row r="221" ht="18" customHeight="1" s="62">
      <c r="A221" s="4" t="n"/>
      <c r="B221" s="4" t="n"/>
      <c r="C221" s="4" t="n"/>
      <c r="D221" s="88" t="n"/>
      <c r="E221" s="88" t="n"/>
      <c r="F221" s="88" t="n"/>
      <c r="G221" s="88" t="n"/>
      <c r="H221" s="89" t="n"/>
      <c r="I221" s="88" t="n"/>
      <c r="J221" s="88" t="n"/>
      <c r="K221" s="88" t="n"/>
    </row>
    <row r="222" ht="18" customHeight="1" s="62">
      <c r="A222" s="5" t="n"/>
      <c r="B222" s="5" t="n"/>
      <c r="C222" s="5" t="n"/>
      <c r="D222" s="90" t="n"/>
      <c r="E222" s="90" t="n"/>
      <c r="F222" s="90" t="n"/>
      <c r="G222" s="90" t="n"/>
      <c r="H222" s="91" t="n"/>
      <c r="I222" s="90" t="n"/>
      <c r="J222" s="90" t="n"/>
      <c r="K222" s="90" t="n"/>
    </row>
    <row r="223" ht="18" customHeight="1" s="62">
      <c r="A223" s="4" t="n"/>
      <c r="B223" s="4" t="n"/>
      <c r="C223" s="4" t="n"/>
      <c r="D223" s="88" t="n"/>
      <c r="E223" s="88" t="n"/>
      <c r="F223" s="88" t="n"/>
      <c r="G223" s="88" t="n"/>
      <c r="H223" s="89" t="n"/>
      <c r="I223" s="88" t="n"/>
      <c r="J223" s="88" t="n"/>
      <c r="K223" s="88" t="n"/>
    </row>
    <row r="224" ht="18" customHeight="1" s="62">
      <c r="A224" s="5" t="n"/>
      <c r="B224" s="5" t="n"/>
      <c r="C224" s="5" t="n"/>
      <c r="D224" s="90" t="n"/>
      <c r="E224" s="90" t="n"/>
      <c r="F224" s="90" t="n"/>
      <c r="G224" s="90" t="n"/>
      <c r="H224" s="91" t="n"/>
      <c r="I224" s="90" t="n"/>
      <c r="J224" s="90" t="n"/>
      <c r="K224" s="90" t="n"/>
    </row>
    <row r="225" ht="18" customHeight="1" s="62">
      <c r="A225" s="4" t="n"/>
      <c r="B225" s="4" t="n"/>
      <c r="C225" s="4" t="n"/>
      <c r="D225" s="88" t="n"/>
      <c r="E225" s="88" t="n"/>
      <c r="F225" s="88" t="n"/>
      <c r="G225" s="88" t="n"/>
      <c r="H225" s="89" t="n"/>
      <c r="I225" s="88" t="n"/>
      <c r="J225" s="88" t="n"/>
      <c r="K225" s="88" t="n"/>
    </row>
    <row r="226" ht="18" customHeight="1" s="62">
      <c r="A226" s="5" t="n"/>
      <c r="B226" s="5" t="n"/>
      <c r="C226" s="5" t="n"/>
      <c r="D226" s="90" t="n"/>
      <c r="E226" s="90" t="n"/>
      <c r="F226" s="90" t="n"/>
      <c r="G226" s="90" t="n"/>
      <c r="H226" s="91" t="n"/>
      <c r="I226" s="90" t="n"/>
      <c r="J226" s="90" t="n"/>
      <c r="K226" s="90" t="n"/>
    </row>
    <row r="227" ht="18" customHeight="1" s="62">
      <c r="A227" s="4" t="n"/>
      <c r="B227" s="4" t="n"/>
      <c r="C227" s="4" t="n"/>
      <c r="D227" s="88" t="n"/>
      <c r="E227" s="88" t="n"/>
      <c r="F227" s="88" t="n"/>
      <c r="G227" s="88" t="n"/>
      <c r="H227" s="89" t="n"/>
      <c r="I227" s="88" t="n"/>
      <c r="J227" s="88" t="n"/>
      <c r="K227" s="88" t="n"/>
    </row>
    <row r="228" ht="18" customHeight="1" s="62">
      <c r="A228" s="5" t="n"/>
      <c r="B228" s="5" t="n"/>
      <c r="C228" s="5" t="n"/>
      <c r="D228" s="90" t="n"/>
      <c r="E228" s="90" t="n"/>
      <c r="F228" s="90" t="n"/>
      <c r="G228" s="90" t="n"/>
      <c r="H228" s="91" t="n"/>
      <c r="I228" s="90" t="n"/>
      <c r="J228" s="90" t="n"/>
      <c r="K228" s="90" t="n"/>
    </row>
    <row r="229" ht="18" customHeight="1" s="62">
      <c r="A229" s="2" t="inlineStr">
        <is>
          <t>SW 25</t>
        </is>
      </c>
      <c r="B229" s="11">
        <f>Ferien!$F$40</f>
        <v/>
      </c>
      <c r="C229" s="3" t="inlineStr">
        <is>
          <t>SW 25</t>
        </is>
      </c>
      <c r="D229" s="86">
        <f>TEXT(B229,"TT.MM.")&amp;" – "&amp;TEXT(B229+4,"TT.MM.JJJJ")</f>
        <v/>
      </c>
      <c r="E229" s="87" t="n"/>
      <c r="F229" s="87" t="n"/>
      <c r="G229" s="87" t="n"/>
      <c r="H229" s="87" t="n"/>
      <c r="I229" s="87" t="n"/>
      <c r="J229" s="87" t="n"/>
      <c r="K229" s="87" t="n"/>
    </row>
    <row r="230" ht="18" customHeight="1" s="62">
      <c r="A230" s="4" t="n"/>
      <c r="B230" s="4" t="n"/>
      <c r="C230" s="4" t="n"/>
      <c r="D230" s="90" t="n"/>
      <c r="E230" s="90" t="n"/>
      <c r="F230" s="90" t="n"/>
      <c r="G230" s="90" t="n"/>
      <c r="H230" s="91" t="n"/>
      <c r="I230" s="90" t="n"/>
      <c r="J230" s="90" t="n"/>
      <c r="K230" s="90" t="n"/>
    </row>
    <row r="231" ht="18" customHeight="1" s="62">
      <c r="A231" s="5" t="n"/>
      <c r="B231" s="5" t="n"/>
      <c r="C231" s="5" t="n"/>
      <c r="D231" s="88" t="n"/>
      <c r="E231" s="88" t="n"/>
      <c r="F231" s="88" t="n"/>
      <c r="G231" s="88" t="n"/>
      <c r="H231" s="89" t="n"/>
      <c r="I231" s="88" t="n"/>
      <c r="J231" s="88" t="n"/>
      <c r="K231" s="88" t="n"/>
    </row>
    <row r="232" ht="18" customHeight="1" s="62">
      <c r="A232" s="4" t="n"/>
      <c r="B232" s="4" t="n"/>
      <c r="C232" s="4" t="n"/>
      <c r="D232" s="90" t="n"/>
      <c r="E232" s="90" t="n"/>
      <c r="F232" s="90" t="n"/>
      <c r="G232" s="90" t="n"/>
      <c r="H232" s="91" t="n"/>
      <c r="I232" s="90" t="n"/>
      <c r="J232" s="90" t="n"/>
      <c r="K232" s="90" t="n"/>
    </row>
    <row r="233" ht="18" customHeight="1" s="62">
      <c r="A233" s="5" t="n"/>
      <c r="B233" s="5" t="n"/>
      <c r="C233" s="5" t="n"/>
      <c r="D233" s="88" t="n"/>
      <c r="E233" s="88" t="n"/>
      <c r="F233" s="88" t="n"/>
      <c r="G233" s="88" t="n"/>
      <c r="H233" s="89" t="n"/>
      <c r="I233" s="88" t="n"/>
      <c r="J233" s="88" t="n"/>
      <c r="K233" s="88" t="n"/>
    </row>
    <row r="234" ht="18" customHeight="1" s="62">
      <c r="A234" s="4" t="n"/>
      <c r="B234" s="4" t="n"/>
      <c r="C234" s="4" t="n"/>
      <c r="D234" s="90" t="n"/>
      <c r="E234" s="90" t="n"/>
      <c r="F234" s="90" t="n"/>
      <c r="G234" s="90" t="n"/>
      <c r="H234" s="91" t="n"/>
      <c r="I234" s="90" t="n"/>
      <c r="J234" s="90" t="n"/>
      <c r="K234" s="90" t="n"/>
    </row>
    <row r="235" ht="18" customHeight="1" s="62">
      <c r="A235" s="5" t="n"/>
      <c r="B235" s="5" t="n"/>
      <c r="C235" s="5" t="n"/>
      <c r="D235" s="88" t="n"/>
      <c r="E235" s="88" t="n"/>
      <c r="F235" s="88" t="n"/>
      <c r="G235" s="88" t="n"/>
      <c r="H235" s="89" t="n"/>
      <c r="I235" s="88" t="n"/>
      <c r="J235" s="88" t="n"/>
      <c r="K235" s="88" t="n"/>
    </row>
    <row r="236" ht="18" customHeight="1" s="62">
      <c r="A236" s="4" t="n"/>
      <c r="B236" s="4" t="n"/>
      <c r="C236" s="4" t="n"/>
      <c r="D236" s="90" t="n"/>
      <c r="E236" s="90" t="n"/>
      <c r="F236" s="90" t="n"/>
      <c r="G236" s="90" t="n"/>
      <c r="H236" s="91" t="n"/>
      <c r="I236" s="90" t="n"/>
      <c r="J236" s="90" t="n"/>
      <c r="K236" s="90" t="n"/>
    </row>
    <row r="237" ht="18" customHeight="1" s="62">
      <c r="A237" s="5" t="n"/>
      <c r="B237" s="5" t="n"/>
      <c r="C237" s="5" t="n"/>
      <c r="D237" s="88" t="n"/>
      <c r="E237" s="88" t="n"/>
      <c r="F237" s="88" t="n"/>
      <c r="G237" s="88" t="n"/>
      <c r="H237" s="89" t="n"/>
      <c r="I237" s="88" t="n"/>
      <c r="J237" s="88" t="n"/>
      <c r="K237" s="88" t="n"/>
    </row>
    <row r="238" ht="18" customHeight="1" s="62">
      <c r="A238" s="2" t="inlineStr">
        <is>
          <t>SW 26</t>
        </is>
      </c>
      <c r="B238" s="11">
        <f>Ferien!$F$41</f>
        <v/>
      </c>
      <c r="C238" s="3" t="inlineStr">
        <is>
          <t>SW 26</t>
        </is>
      </c>
      <c r="D238" s="86">
        <f>TEXT(B238,"TT.MM.")&amp;" – "&amp;TEXT(B238+4,"TT.MM.JJJJ")</f>
        <v/>
      </c>
      <c r="E238" s="87" t="n"/>
      <c r="F238" s="87" t="n"/>
      <c r="G238" s="87" t="n"/>
      <c r="H238" s="87" t="n"/>
      <c r="I238" s="87" t="n"/>
      <c r="J238" s="87" t="n"/>
      <c r="K238" s="87" t="n"/>
    </row>
    <row r="239" ht="18" customHeight="1" s="62">
      <c r="A239" s="4" t="n"/>
      <c r="B239" s="4" t="n"/>
      <c r="C239" s="4" t="n"/>
      <c r="D239" s="88" t="n"/>
      <c r="E239" s="88" t="n"/>
      <c r="F239" s="88" t="n"/>
      <c r="G239" s="88" t="n"/>
      <c r="H239" s="89" t="n"/>
      <c r="I239" s="88" t="n"/>
      <c r="J239" s="88" t="n"/>
      <c r="K239" s="88" t="n"/>
    </row>
    <row r="240" ht="18" customHeight="1" s="62">
      <c r="A240" s="5" t="n"/>
      <c r="B240" s="5" t="n"/>
      <c r="C240" s="5" t="n"/>
      <c r="D240" s="90" t="n"/>
      <c r="E240" s="90" t="n"/>
      <c r="F240" s="90" t="n"/>
      <c r="G240" s="90" t="n"/>
      <c r="H240" s="91" t="n"/>
      <c r="I240" s="90" t="n"/>
      <c r="J240" s="90" t="n"/>
      <c r="K240" s="90" t="n"/>
    </row>
    <row r="241" ht="18" customHeight="1" s="62">
      <c r="A241" s="4" t="n"/>
      <c r="B241" s="4" t="n"/>
      <c r="C241" s="4" t="n"/>
      <c r="D241" s="88" t="n"/>
      <c r="E241" s="88" t="n"/>
      <c r="F241" s="88" t="n"/>
      <c r="G241" s="88" t="n"/>
      <c r="H241" s="89" t="n"/>
      <c r="I241" s="88" t="n"/>
      <c r="J241" s="88" t="n"/>
      <c r="K241" s="88" t="n"/>
    </row>
    <row r="242" ht="18" customHeight="1" s="62">
      <c r="A242" s="5" t="n"/>
      <c r="B242" s="5" t="n"/>
      <c r="C242" s="5" t="n"/>
      <c r="D242" s="90" t="n"/>
      <c r="E242" s="90" t="n"/>
      <c r="F242" s="90" t="n"/>
      <c r="G242" s="90" t="n"/>
      <c r="H242" s="91" t="n"/>
      <c r="I242" s="90" t="n"/>
      <c r="J242" s="90" t="n"/>
      <c r="K242" s="90" t="n"/>
    </row>
    <row r="243" ht="18" customHeight="1" s="62">
      <c r="A243" s="4" t="n"/>
      <c r="B243" s="4" t="n"/>
      <c r="C243" s="4" t="n"/>
      <c r="D243" s="88" t="n"/>
      <c r="E243" s="88" t="n"/>
      <c r="F243" s="88" t="n"/>
      <c r="G243" s="88" t="n"/>
      <c r="H243" s="89" t="n"/>
      <c r="I243" s="88" t="n"/>
      <c r="J243" s="88" t="n"/>
      <c r="K243" s="88" t="n"/>
    </row>
    <row r="244" ht="18" customHeight="1" s="62">
      <c r="A244" s="5" t="n"/>
      <c r="B244" s="5" t="n"/>
      <c r="C244" s="5" t="n"/>
      <c r="D244" s="90" t="n"/>
      <c r="E244" s="90" t="n"/>
      <c r="F244" s="90" t="n"/>
      <c r="G244" s="90" t="n"/>
      <c r="H244" s="91" t="n"/>
      <c r="I244" s="90" t="n"/>
      <c r="J244" s="90" t="n"/>
      <c r="K244" s="90" t="n"/>
    </row>
    <row r="245" ht="18" customHeight="1" s="62">
      <c r="A245" s="4" t="n"/>
      <c r="B245" s="4" t="n"/>
      <c r="C245" s="4" t="n"/>
      <c r="D245" s="88" t="n"/>
      <c r="E245" s="88" t="n"/>
      <c r="F245" s="88" t="n"/>
      <c r="G245" s="88" t="n"/>
      <c r="H245" s="89" t="n"/>
      <c r="I245" s="88" t="n"/>
      <c r="J245" s="88" t="n"/>
      <c r="K245" s="88" t="n"/>
    </row>
    <row r="246" ht="18" customHeight="1" s="62">
      <c r="A246" s="5" t="n"/>
      <c r="B246" s="5" t="n"/>
      <c r="C246" s="5" t="n"/>
      <c r="D246" s="90" t="n"/>
      <c r="E246" s="90" t="n"/>
      <c r="F246" s="90" t="n"/>
      <c r="G246" s="90" t="n"/>
      <c r="H246" s="91" t="n"/>
      <c r="I246" s="90" t="n"/>
      <c r="J246" s="90" t="n"/>
      <c r="K246" s="90" t="n"/>
    </row>
    <row r="247" ht="18" customHeight="1" s="62">
      <c r="A247" s="2" t="inlineStr">
        <is>
          <t>SW 27</t>
        </is>
      </c>
      <c r="B247" s="11">
        <f>Ferien!$F$42</f>
        <v/>
      </c>
      <c r="C247" s="3" t="inlineStr">
        <is>
          <t>SW 27</t>
        </is>
      </c>
      <c r="D247" s="86">
        <f>TEXT(B247,"TT.MM.")&amp;" – "&amp;TEXT(B247+4,"TT.MM.JJJJ")</f>
        <v/>
      </c>
      <c r="E247" s="87" t="n"/>
      <c r="F247" s="87" t="n"/>
      <c r="G247" s="87" t="n"/>
      <c r="H247" s="87" t="n"/>
      <c r="I247" s="87" t="n"/>
      <c r="J247" s="87" t="n"/>
      <c r="K247" s="87" t="n"/>
    </row>
    <row r="248" ht="18" customHeight="1" s="62">
      <c r="A248" s="4" t="n"/>
      <c r="B248" s="4" t="n"/>
      <c r="C248" s="4" t="n"/>
      <c r="D248" s="90" t="n"/>
      <c r="E248" s="90" t="n"/>
      <c r="F248" s="90" t="n"/>
      <c r="G248" s="90" t="n"/>
      <c r="H248" s="91" t="n"/>
      <c r="I248" s="90" t="n"/>
      <c r="J248" s="90" t="n"/>
      <c r="K248" s="90" t="n"/>
    </row>
    <row r="249" ht="18" customHeight="1" s="62">
      <c r="A249" s="5" t="n"/>
      <c r="B249" s="5" t="n"/>
      <c r="C249" s="5" t="n"/>
      <c r="D249" s="88" t="n"/>
      <c r="E249" s="88" t="n"/>
      <c r="F249" s="88" t="n"/>
      <c r="G249" s="88" t="n"/>
      <c r="H249" s="89" t="n"/>
      <c r="I249" s="88" t="n"/>
      <c r="J249" s="88" t="n"/>
      <c r="K249" s="88" t="n"/>
    </row>
    <row r="250" ht="18" customHeight="1" s="62">
      <c r="A250" s="4" t="n"/>
      <c r="B250" s="4" t="n"/>
      <c r="C250" s="4" t="n"/>
      <c r="D250" s="90" t="n"/>
      <c r="E250" s="90" t="n"/>
      <c r="F250" s="90" t="n"/>
      <c r="G250" s="90" t="n"/>
      <c r="H250" s="91" t="n"/>
      <c r="I250" s="90" t="n"/>
      <c r="J250" s="90" t="n"/>
      <c r="K250" s="90" t="n"/>
    </row>
    <row r="251" ht="18" customHeight="1" s="62">
      <c r="A251" s="5" t="n"/>
      <c r="B251" s="5" t="n"/>
      <c r="C251" s="5" t="n"/>
      <c r="D251" s="88" t="n"/>
      <c r="E251" s="88" t="n"/>
      <c r="F251" s="88" t="n"/>
      <c r="G251" s="88" t="n"/>
      <c r="H251" s="89" t="n"/>
      <c r="I251" s="88" t="n"/>
      <c r="J251" s="88" t="n"/>
      <c r="K251" s="88" t="n"/>
    </row>
    <row r="252" ht="18" customHeight="1" s="62">
      <c r="A252" s="4" t="n"/>
      <c r="B252" s="4" t="n"/>
      <c r="C252" s="4" t="n"/>
      <c r="D252" s="90" t="n"/>
      <c r="E252" s="90" t="n"/>
      <c r="F252" s="90" t="n"/>
      <c r="G252" s="90" t="n"/>
      <c r="H252" s="91" t="n"/>
      <c r="I252" s="90" t="n"/>
      <c r="J252" s="90" t="n"/>
      <c r="K252" s="90" t="n"/>
    </row>
    <row r="253" ht="18" customHeight="1" s="62">
      <c r="A253" s="5" t="n"/>
      <c r="B253" s="5" t="n"/>
      <c r="C253" s="5" t="n"/>
      <c r="D253" s="88" t="n"/>
      <c r="E253" s="88" t="n"/>
      <c r="F253" s="88" t="n"/>
      <c r="G253" s="88" t="n"/>
      <c r="H253" s="89" t="n"/>
      <c r="I253" s="88" t="n"/>
      <c r="J253" s="88" t="n"/>
      <c r="K253" s="88" t="n"/>
    </row>
    <row r="254" ht="18" customHeight="1" s="62">
      <c r="A254" s="4" t="n"/>
      <c r="B254" s="4" t="n"/>
      <c r="C254" s="4" t="n"/>
      <c r="D254" s="90" t="n"/>
      <c r="E254" s="90" t="n"/>
      <c r="F254" s="90" t="n"/>
      <c r="G254" s="90" t="n"/>
      <c r="H254" s="91" t="n"/>
      <c r="I254" s="90" t="n"/>
      <c r="J254" s="90" t="n"/>
      <c r="K254" s="90" t="n"/>
    </row>
    <row r="255" ht="18" customHeight="1" s="62">
      <c r="A255" s="5" t="n"/>
      <c r="B255" s="5" t="n"/>
      <c r="C255" s="5" t="n"/>
      <c r="D255" s="88" t="n"/>
      <c r="E255" s="88" t="n"/>
      <c r="F255" s="88" t="n"/>
      <c r="G255" s="88" t="n"/>
      <c r="H255" s="89" t="n"/>
      <c r="I255" s="88" t="n"/>
      <c r="J255" s="88" t="n"/>
      <c r="K255" s="88" t="n"/>
    </row>
    <row r="256" ht="18" customHeight="1" s="62">
      <c r="A256" s="6" t="inlineStr">
        <is>
          <t>FERIEN</t>
        </is>
      </c>
      <c r="B256" s="6" t="inlineStr">
        <is>
          <t>2026-03-30</t>
        </is>
      </c>
      <c r="C256" s="6" t="inlineStr">
        <is>
          <t>FERIEN</t>
        </is>
      </c>
      <c r="D256" s="90" t="inlineStr">
        <is>
          <t>30.03.2026 – 10.04.2026</t>
        </is>
      </c>
      <c r="E256" s="90" t="n"/>
      <c r="F256" s="90" t="n"/>
      <c r="G256" s="90" t="n"/>
      <c r="H256" s="91" t="inlineStr">
        <is>
          <t>Osterferien</t>
        </is>
      </c>
      <c r="I256" s="90" t="inlineStr">
        <is>
          <t>Feiertage/Ferien</t>
        </is>
      </c>
      <c r="J256" s="90" t="n"/>
      <c r="K256" s="90" t="n"/>
    </row>
    <row r="257" ht="18" customHeight="1" s="62">
      <c r="A257" s="2" t="inlineStr">
        <is>
          <t>SW 28</t>
        </is>
      </c>
      <c r="B257" s="11">
        <f>Ferien!$F$43</f>
        <v/>
      </c>
      <c r="C257" s="3" t="inlineStr">
        <is>
          <t>SW 28</t>
        </is>
      </c>
      <c r="D257" s="86">
        <f>TEXT(B257,"TT.MM.")&amp;" – "&amp;TEXT(B257+4,"TT.MM.JJJJ")</f>
        <v/>
      </c>
      <c r="E257" s="87" t="n"/>
      <c r="F257" s="87" t="n"/>
      <c r="G257" s="87" t="n"/>
      <c r="H257" s="87" t="n"/>
      <c r="I257" s="87" t="n"/>
      <c r="J257" s="87" t="n"/>
      <c r="K257" s="87" t="n"/>
    </row>
    <row r="258" ht="18" customHeight="1" s="62">
      <c r="A258" s="4" t="n"/>
      <c r="B258" s="4" t="n"/>
      <c r="C258" s="4" t="n"/>
      <c r="D258" s="90" t="n"/>
      <c r="E258" s="90" t="n"/>
      <c r="F258" s="90" t="n"/>
      <c r="G258" s="90" t="n"/>
      <c r="H258" s="91" t="n"/>
      <c r="I258" s="90" t="n"/>
      <c r="J258" s="90" t="n"/>
      <c r="K258" s="90" t="n"/>
    </row>
    <row r="259" ht="18" customHeight="1" s="62">
      <c r="A259" s="5" t="n"/>
      <c r="B259" s="5" t="n"/>
      <c r="C259" s="5" t="n"/>
      <c r="D259" s="88" t="n"/>
      <c r="E259" s="88" t="n"/>
      <c r="F259" s="88" t="n"/>
      <c r="G259" s="88" t="n"/>
      <c r="H259" s="89" t="n"/>
      <c r="I259" s="88" t="n"/>
      <c r="J259" s="88" t="n"/>
      <c r="K259" s="88" t="n"/>
    </row>
    <row r="260" ht="18" customHeight="1" s="62">
      <c r="A260" s="4" t="n"/>
      <c r="B260" s="4" t="n"/>
      <c r="C260" s="4" t="n"/>
      <c r="D260" s="90" t="n"/>
      <c r="E260" s="90" t="n"/>
      <c r="F260" s="90" t="n"/>
      <c r="G260" s="90" t="n"/>
      <c r="H260" s="91" t="n"/>
      <c r="I260" s="90" t="n"/>
      <c r="J260" s="90" t="n"/>
      <c r="K260" s="90" t="n"/>
    </row>
    <row r="261" ht="18" customHeight="1" s="62">
      <c r="A261" s="5" t="n"/>
      <c r="B261" s="5" t="n"/>
      <c r="C261" s="5" t="n"/>
      <c r="D261" s="88" t="n"/>
      <c r="E261" s="88" t="n"/>
      <c r="F261" s="88" t="n"/>
      <c r="G261" s="88" t="n"/>
      <c r="H261" s="89" t="n"/>
      <c r="I261" s="88" t="n"/>
      <c r="J261" s="88" t="n"/>
      <c r="K261" s="88" t="n"/>
    </row>
    <row r="262" ht="18" customHeight="1" s="62">
      <c r="A262" s="4" t="n"/>
      <c r="B262" s="4" t="n"/>
      <c r="C262" s="4" t="n"/>
      <c r="D262" s="90" t="n"/>
      <c r="E262" s="90" t="n"/>
      <c r="F262" s="90" t="n"/>
      <c r="G262" s="90" t="n"/>
      <c r="H262" s="91" t="n"/>
      <c r="I262" s="90" t="n"/>
      <c r="J262" s="90" t="n"/>
      <c r="K262" s="90" t="n"/>
    </row>
    <row r="263" ht="18" customHeight="1" s="62">
      <c r="A263" s="5" t="n"/>
      <c r="B263" s="5" t="n"/>
      <c r="C263" s="5" t="n"/>
      <c r="D263" s="88" t="n"/>
      <c r="E263" s="88" t="n"/>
      <c r="F263" s="88" t="n"/>
      <c r="G263" s="88" t="n"/>
      <c r="H263" s="89" t="n"/>
      <c r="I263" s="88" t="n"/>
      <c r="J263" s="88" t="n"/>
      <c r="K263" s="88" t="n"/>
    </row>
    <row r="264" ht="18" customHeight="1" s="62">
      <c r="A264" s="4" t="n"/>
      <c r="B264" s="4" t="n"/>
      <c r="C264" s="4" t="n"/>
      <c r="D264" s="90" t="n"/>
      <c r="E264" s="90" t="n"/>
      <c r="F264" s="90" t="n"/>
      <c r="G264" s="90" t="n"/>
      <c r="H264" s="91" t="n"/>
      <c r="I264" s="90" t="n"/>
      <c r="J264" s="90" t="n"/>
      <c r="K264" s="90" t="n"/>
    </row>
    <row r="265" ht="18" customHeight="1" s="62">
      <c r="A265" s="5" t="n"/>
      <c r="B265" s="5" t="n"/>
      <c r="C265" s="5" t="n"/>
      <c r="D265" s="88" t="n"/>
      <c r="E265" s="88" t="n"/>
      <c r="F265" s="88" t="n"/>
      <c r="G265" s="88" t="n"/>
      <c r="H265" s="89" t="n"/>
      <c r="I265" s="88" t="n"/>
      <c r="J265" s="88" t="n"/>
      <c r="K265" s="88" t="n"/>
    </row>
    <row r="266" ht="18" customHeight="1" s="62">
      <c r="A266" s="2" t="inlineStr">
        <is>
          <t>SW 29</t>
        </is>
      </c>
      <c r="B266" s="11">
        <f>Ferien!$F$44</f>
        <v/>
      </c>
      <c r="C266" s="3" t="inlineStr">
        <is>
          <t>SW 29</t>
        </is>
      </c>
      <c r="D266" s="86">
        <f>TEXT(B266,"TT.MM.")&amp;" – "&amp;TEXT(B266+4,"TT.MM.JJJJ")</f>
        <v/>
      </c>
      <c r="E266" s="87" t="n"/>
      <c r="F266" s="87" t="n"/>
      <c r="G266" s="87" t="n"/>
      <c r="H266" s="87" t="n"/>
      <c r="I266" s="87" t="n"/>
      <c r="J266" s="87" t="n"/>
      <c r="K266" s="87" t="n"/>
    </row>
    <row r="267" ht="18" customHeight="1" s="62">
      <c r="A267" s="4" t="n"/>
      <c r="B267" s="4" t="n"/>
      <c r="C267" s="4" t="n"/>
      <c r="D267" s="88" t="n"/>
      <c r="E267" s="88" t="n"/>
      <c r="F267" s="88" t="n"/>
      <c r="G267" s="88" t="n"/>
      <c r="H267" s="89" t="n"/>
      <c r="I267" s="88" t="n"/>
      <c r="J267" s="88" t="n"/>
      <c r="K267" s="88" t="n"/>
    </row>
    <row r="268" ht="18" customHeight="1" s="62">
      <c r="A268" s="5" t="n"/>
      <c r="B268" s="5" t="n"/>
      <c r="C268" s="5" t="n"/>
      <c r="D268" s="90" t="n"/>
      <c r="E268" s="90" t="n"/>
      <c r="F268" s="90" t="n"/>
      <c r="G268" s="90" t="n"/>
      <c r="H268" s="91" t="n"/>
      <c r="I268" s="90" t="n"/>
      <c r="J268" s="90" t="n"/>
      <c r="K268" s="90" t="n"/>
    </row>
    <row r="269" ht="18" customHeight="1" s="62">
      <c r="A269" s="4" t="n"/>
      <c r="B269" s="4" t="n"/>
      <c r="C269" s="4" t="n"/>
      <c r="D269" s="88" t="n"/>
      <c r="E269" s="88" t="n"/>
      <c r="F269" s="88" t="n"/>
      <c r="G269" s="88" t="n"/>
      <c r="H269" s="89" t="n"/>
      <c r="I269" s="88" t="n"/>
      <c r="J269" s="88" t="n"/>
      <c r="K269" s="88" t="n"/>
    </row>
    <row r="270" ht="18" customHeight="1" s="62">
      <c r="A270" s="5" t="n"/>
      <c r="B270" s="5" t="n"/>
      <c r="C270" s="5" t="n"/>
      <c r="D270" s="90" t="n"/>
      <c r="E270" s="90" t="n"/>
      <c r="F270" s="90" t="n"/>
      <c r="G270" s="90" t="n"/>
      <c r="H270" s="91" t="n"/>
      <c r="I270" s="90" t="n"/>
      <c r="J270" s="90" t="n"/>
      <c r="K270" s="90" t="n"/>
    </row>
    <row r="271" ht="18" customHeight="1" s="62">
      <c r="A271" s="4" t="n"/>
      <c r="B271" s="4" t="n"/>
      <c r="C271" s="4" t="n"/>
      <c r="D271" s="88" t="n"/>
      <c r="E271" s="88" t="n"/>
      <c r="F271" s="88" t="n"/>
      <c r="G271" s="88" t="n"/>
      <c r="H271" s="89" t="n"/>
      <c r="I271" s="88" t="n"/>
      <c r="J271" s="88" t="n"/>
      <c r="K271" s="88" t="n"/>
    </row>
    <row r="272" ht="18" customHeight="1" s="62">
      <c r="A272" s="5" t="n"/>
      <c r="B272" s="5" t="n"/>
      <c r="C272" s="5" t="n"/>
      <c r="D272" s="90" t="n"/>
      <c r="E272" s="90" t="n"/>
      <c r="F272" s="90" t="n"/>
      <c r="G272" s="90" t="n"/>
      <c r="H272" s="91" t="n"/>
      <c r="I272" s="90" t="n"/>
      <c r="J272" s="90" t="n"/>
      <c r="K272" s="90" t="n"/>
    </row>
    <row r="273" ht="18" customHeight="1" s="62">
      <c r="A273" s="4" t="n"/>
      <c r="B273" s="4" t="n"/>
      <c r="C273" s="4" t="n"/>
      <c r="D273" s="88" t="n"/>
      <c r="E273" s="88" t="n"/>
      <c r="F273" s="88" t="n"/>
      <c r="G273" s="88" t="n"/>
      <c r="H273" s="89" t="n"/>
      <c r="I273" s="88" t="n"/>
      <c r="J273" s="88" t="n"/>
      <c r="K273" s="88" t="n"/>
    </row>
    <row r="274" ht="18" customHeight="1" s="62">
      <c r="A274" s="5" t="n"/>
      <c r="B274" s="5" t="n"/>
      <c r="C274" s="5" t="n"/>
      <c r="D274" s="90" t="n"/>
      <c r="E274" s="90" t="n"/>
      <c r="F274" s="90" t="n"/>
      <c r="G274" s="90" t="n"/>
      <c r="H274" s="91" t="n"/>
      <c r="I274" s="90" t="n"/>
      <c r="J274" s="90" t="n"/>
      <c r="K274" s="90" t="n"/>
    </row>
    <row r="275" ht="18" customHeight="1" s="62">
      <c r="A275" s="2" t="inlineStr">
        <is>
          <t>SW 30</t>
        </is>
      </c>
      <c r="B275" s="11">
        <f>Ferien!$F$45</f>
        <v/>
      </c>
      <c r="C275" s="3" t="inlineStr">
        <is>
          <t>SW 30</t>
        </is>
      </c>
      <c r="D275" s="86">
        <f>TEXT(B275,"TT.MM.")&amp;" – "&amp;TEXT(B275+4,"TT.MM.JJJJ")</f>
        <v/>
      </c>
      <c r="E275" s="87" t="n"/>
      <c r="F275" s="87" t="n"/>
      <c r="G275" s="87" t="n"/>
      <c r="H275" s="87" t="n"/>
      <c r="I275" s="87" t="n"/>
      <c r="J275" s="87" t="n"/>
      <c r="K275" s="87" t="n"/>
    </row>
    <row r="276" ht="18" customHeight="1" s="62">
      <c r="A276" s="4" t="n"/>
      <c r="B276" s="4" t="n"/>
      <c r="C276" s="4" t="n"/>
      <c r="D276" s="90" t="n"/>
      <c r="E276" s="90" t="n"/>
      <c r="F276" s="90" t="n"/>
      <c r="G276" s="90" t="n"/>
      <c r="H276" s="91" t="n"/>
      <c r="I276" s="90" t="n"/>
      <c r="J276" s="90" t="n"/>
      <c r="K276" s="90" t="n"/>
    </row>
    <row r="277" ht="18" customHeight="1" s="62">
      <c r="A277" s="5" t="n"/>
      <c r="B277" s="5" t="n"/>
      <c r="C277" s="5" t="n"/>
      <c r="D277" s="88" t="n"/>
      <c r="E277" s="88" t="n"/>
      <c r="F277" s="88" t="n"/>
      <c r="G277" s="88" t="n"/>
      <c r="H277" s="89" t="n"/>
      <c r="I277" s="88" t="n"/>
      <c r="J277" s="88" t="n"/>
      <c r="K277" s="88" t="n"/>
    </row>
    <row r="278" ht="18" customHeight="1" s="62">
      <c r="A278" s="4" t="n"/>
      <c r="B278" s="4" t="n"/>
      <c r="C278" s="4" t="n"/>
      <c r="D278" s="90" t="n"/>
      <c r="E278" s="90" t="n"/>
      <c r="F278" s="90" t="n"/>
      <c r="G278" s="90" t="n"/>
      <c r="H278" s="91" t="n"/>
      <c r="I278" s="90" t="n"/>
      <c r="J278" s="90" t="n"/>
      <c r="K278" s="90" t="n"/>
    </row>
    <row r="279" ht="18" customHeight="1" s="62">
      <c r="A279" s="5" t="n"/>
      <c r="B279" s="5" t="n"/>
      <c r="C279" s="5" t="n"/>
      <c r="D279" s="88" t="n"/>
      <c r="E279" s="88" t="n"/>
      <c r="F279" s="88" t="n"/>
      <c r="G279" s="88" t="n"/>
      <c r="H279" s="89" t="n"/>
      <c r="I279" s="88" t="n"/>
      <c r="J279" s="88" t="n"/>
      <c r="K279" s="88" t="n"/>
    </row>
    <row r="280" ht="18" customHeight="1" s="62">
      <c r="A280" s="4" t="n"/>
      <c r="B280" s="4" t="n"/>
      <c r="C280" s="4" t="n"/>
      <c r="D280" s="90" t="n"/>
      <c r="E280" s="90" t="n"/>
      <c r="F280" s="90" t="n"/>
      <c r="G280" s="90" t="n"/>
      <c r="H280" s="91" t="n"/>
      <c r="I280" s="90" t="n"/>
      <c r="J280" s="90" t="n"/>
      <c r="K280" s="90" t="n"/>
    </row>
    <row r="281" ht="18" customHeight="1" s="62">
      <c r="A281" s="5" t="n"/>
      <c r="B281" s="5" t="n"/>
      <c r="C281" s="5" t="n"/>
      <c r="D281" s="88" t="n"/>
      <c r="E281" s="88" t="n"/>
      <c r="F281" s="88" t="n"/>
      <c r="G281" s="88" t="n"/>
      <c r="H281" s="89" t="n"/>
      <c r="I281" s="88" t="n"/>
      <c r="J281" s="88" t="n"/>
      <c r="K281" s="88" t="n"/>
    </row>
    <row r="282" ht="18" customHeight="1" s="62">
      <c r="A282" s="4" t="n"/>
      <c r="B282" s="4" t="n"/>
      <c r="C282" s="4" t="n"/>
      <c r="D282" s="90" t="n"/>
      <c r="E282" s="90" t="n"/>
      <c r="F282" s="90" t="n"/>
      <c r="G282" s="90" t="n"/>
      <c r="H282" s="91" t="n"/>
      <c r="I282" s="90" t="n"/>
      <c r="J282" s="90" t="n"/>
      <c r="K282" s="90" t="n"/>
    </row>
    <row r="283" ht="18" customHeight="1" s="62">
      <c r="A283" s="5" t="n"/>
      <c r="B283" s="5" t="n"/>
      <c r="C283" s="5" t="n"/>
      <c r="D283" s="88" t="n"/>
      <c r="E283" s="88" t="n"/>
      <c r="F283" s="88" t="n"/>
      <c r="G283" s="88" t="n"/>
      <c r="H283" s="89" t="n"/>
      <c r="I283" s="88" t="n"/>
      <c r="J283" s="88" t="n"/>
      <c r="K283" s="88" t="n"/>
    </row>
    <row r="284" ht="18" customHeight="1" s="62">
      <c r="A284" s="2" t="inlineStr">
        <is>
          <t>SW 31</t>
        </is>
      </c>
      <c r="B284" s="11">
        <f>Ferien!$F$46</f>
        <v/>
      </c>
      <c r="C284" s="3" t="inlineStr">
        <is>
          <t>SW 31</t>
        </is>
      </c>
      <c r="D284" s="86">
        <f>TEXT(B284,"TT.MM.")&amp;" – "&amp;TEXT(B284+4,"TT.MM.JJJJ")</f>
        <v/>
      </c>
      <c r="E284" s="87" t="n"/>
      <c r="F284" s="87" t="n"/>
      <c r="G284" s="87" t="n"/>
      <c r="H284" s="87" t="n"/>
      <c r="I284" s="87" t="n"/>
      <c r="J284" s="87" t="n"/>
      <c r="K284" s="87" t="n"/>
    </row>
    <row r="285" ht="18" customHeight="1" s="62">
      <c r="A285" s="4" t="n"/>
      <c r="B285" s="4" t="n"/>
      <c r="C285" s="4" t="n"/>
      <c r="D285" s="88" t="n"/>
      <c r="E285" s="88" t="n"/>
      <c r="F285" s="88" t="n"/>
      <c r="G285" s="88" t="n"/>
      <c r="H285" s="89" t="n"/>
      <c r="I285" s="88" t="n"/>
      <c r="J285" s="88" t="n"/>
      <c r="K285" s="88" t="n"/>
    </row>
    <row r="286" ht="18" customHeight="1" s="62">
      <c r="A286" s="5" t="n"/>
      <c r="B286" s="5" t="n"/>
      <c r="C286" s="5" t="n"/>
      <c r="D286" s="90" t="n"/>
      <c r="E286" s="90" t="n"/>
      <c r="F286" s="90" t="n"/>
      <c r="G286" s="90" t="n"/>
      <c r="H286" s="91" t="n"/>
      <c r="I286" s="90" t="n"/>
      <c r="J286" s="90" t="n"/>
      <c r="K286" s="90" t="n"/>
    </row>
    <row r="287" ht="18" customHeight="1" s="62">
      <c r="A287" s="4" t="n"/>
      <c r="B287" s="4" t="n"/>
      <c r="C287" s="4" t="n"/>
      <c r="D287" s="88" t="n"/>
      <c r="E287" s="88" t="n"/>
      <c r="F287" s="88" t="n"/>
      <c r="G287" s="88" t="n"/>
      <c r="H287" s="89" t="n"/>
      <c r="I287" s="88" t="n"/>
      <c r="J287" s="88" t="n"/>
      <c r="K287" s="88" t="n"/>
    </row>
    <row r="288" ht="18" customHeight="1" s="62">
      <c r="A288" s="5" t="n"/>
      <c r="B288" s="5" t="n"/>
      <c r="C288" s="5" t="n"/>
      <c r="D288" s="90" t="n"/>
      <c r="E288" s="90" t="n"/>
      <c r="F288" s="90" t="n"/>
      <c r="G288" s="90" t="n"/>
      <c r="H288" s="91" t="n"/>
      <c r="I288" s="90" t="n"/>
      <c r="J288" s="90" t="n"/>
      <c r="K288" s="90" t="n"/>
    </row>
    <row r="289" ht="18" customHeight="1" s="62">
      <c r="A289" s="4" t="n"/>
      <c r="B289" s="4" t="n"/>
      <c r="C289" s="4" t="n"/>
      <c r="D289" s="88" t="n"/>
      <c r="E289" s="88" t="n"/>
      <c r="F289" s="88" t="n"/>
      <c r="G289" s="88" t="n"/>
      <c r="H289" s="89" t="n"/>
      <c r="I289" s="88" t="n"/>
      <c r="J289" s="88" t="n"/>
      <c r="K289" s="88" t="n"/>
    </row>
    <row r="290" ht="18" customHeight="1" s="62">
      <c r="A290" s="5" t="n"/>
      <c r="B290" s="5" t="n"/>
      <c r="C290" s="5" t="n"/>
      <c r="D290" s="90" t="n"/>
      <c r="E290" s="90" t="n"/>
      <c r="F290" s="90" t="n"/>
      <c r="G290" s="90" t="n"/>
      <c r="H290" s="91" t="n"/>
      <c r="I290" s="90" t="n"/>
      <c r="J290" s="90" t="n"/>
      <c r="K290" s="90" t="n"/>
    </row>
    <row r="291" ht="18" customHeight="1" s="62">
      <c r="A291" s="4" t="n"/>
      <c r="B291" s="4" t="n"/>
      <c r="C291" s="4" t="n"/>
      <c r="D291" s="88" t="n"/>
      <c r="E291" s="88" t="n"/>
      <c r="F291" s="88" t="n"/>
      <c r="G291" s="88" t="n"/>
      <c r="H291" s="89" t="n"/>
      <c r="I291" s="88" t="n"/>
      <c r="J291" s="88" t="n"/>
      <c r="K291" s="88" t="n"/>
    </row>
    <row r="292" ht="18" customHeight="1" s="62">
      <c r="A292" s="5" t="n"/>
      <c r="B292" s="5" t="n"/>
      <c r="C292" s="5" t="n"/>
      <c r="D292" s="90" t="n"/>
      <c r="E292" s="90" t="n"/>
      <c r="F292" s="90" t="n"/>
      <c r="G292" s="90" t="n"/>
      <c r="H292" s="91" t="n"/>
      <c r="I292" s="90" t="n"/>
      <c r="J292" s="90" t="n"/>
      <c r="K292" s="90" t="n"/>
    </row>
    <row r="293" ht="18" customHeight="1" s="62">
      <c r="A293" s="2" t="inlineStr">
        <is>
          <t>SW 32</t>
        </is>
      </c>
      <c r="B293" s="11">
        <f>Ferien!$F$47</f>
        <v/>
      </c>
      <c r="C293" s="3" t="inlineStr">
        <is>
          <t>SW 32</t>
        </is>
      </c>
      <c r="D293" s="86">
        <f>TEXT(B293,"TT.MM.")&amp;" – "&amp;TEXT(B293+4,"TT.MM.JJJJ")</f>
        <v/>
      </c>
      <c r="E293" s="87" t="n"/>
      <c r="F293" s="87" t="n"/>
      <c r="G293" s="87" t="n"/>
      <c r="H293" s="87" t="n"/>
      <c r="I293" s="87" t="n"/>
      <c r="J293" s="87" t="n"/>
      <c r="K293" s="87" t="n"/>
    </row>
    <row r="294" ht="18" customHeight="1" s="62">
      <c r="A294" s="4" t="n"/>
      <c r="B294" s="4" t="n"/>
      <c r="C294" s="4" t="n"/>
      <c r="D294" s="90" t="n"/>
      <c r="E294" s="90" t="n"/>
      <c r="F294" s="90" t="n"/>
      <c r="G294" s="90" t="n"/>
      <c r="H294" s="91" t="n"/>
      <c r="I294" s="90" t="n"/>
      <c r="J294" s="90" t="n"/>
      <c r="K294" s="90" t="n"/>
    </row>
    <row r="295" ht="18" customHeight="1" s="62">
      <c r="A295" s="5" t="n"/>
      <c r="B295" s="5" t="n"/>
      <c r="C295" s="5" t="n"/>
      <c r="D295" s="88" t="n"/>
      <c r="E295" s="88" t="n"/>
      <c r="F295" s="88" t="n"/>
      <c r="G295" s="88" t="n"/>
      <c r="H295" s="89" t="n"/>
      <c r="I295" s="88" t="n"/>
      <c r="J295" s="88" t="n"/>
      <c r="K295" s="88" t="n"/>
    </row>
    <row r="296" ht="18" customHeight="1" s="62">
      <c r="A296" s="4" t="n"/>
      <c r="B296" s="4" t="n"/>
      <c r="C296" s="4" t="n"/>
      <c r="D296" s="90" t="n"/>
      <c r="E296" s="90" t="n"/>
      <c r="F296" s="90" t="n"/>
      <c r="G296" s="90" t="n"/>
      <c r="H296" s="91" t="n"/>
      <c r="I296" s="90" t="n"/>
      <c r="J296" s="90" t="n"/>
      <c r="K296" s="90" t="n"/>
    </row>
    <row r="297" ht="18" customHeight="1" s="62">
      <c r="A297" s="5" t="n"/>
      <c r="B297" s="5" t="n"/>
      <c r="C297" s="5" t="n"/>
      <c r="D297" s="88" t="n"/>
      <c r="E297" s="88" t="n"/>
      <c r="F297" s="88" t="n"/>
      <c r="G297" s="88" t="n"/>
      <c r="H297" s="89" t="n"/>
      <c r="I297" s="88" t="n"/>
      <c r="J297" s="88" t="n"/>
      <c r="K297" s="88" t="n"/>
    </row>
    <row r="298" ht="18" customHeight="1" s="62">
      <c r="A298" s="4" t="n"/>
      <c r="B298" s="4" t="n"/>
      <c r="C298" s="4" t="n"/>
      <c r="D298" s="90" t="n"/>
      <c r="E298" s="90" t="n"/>
      <c r="F298" s="90" t="n"/>
      <c r="G298" s="90" t="n"/>
      <c r="H298" s="91" t="n"/>
      <c r="I298" s="90" t="n"/>
      <c r="J298" s="90" t="n"/>
      <c r="K298" s="90" t="n"/>
    </row>
    <row r="299" ht="18" customHeight="1" s="62">
      <c r="A299" s="5" t="n"/>
      <c r="B299" s="5" t="n"/>
      <c r="C299" s="5" t="n"/>
      <c r="D299" s="88" t="n"/>
      <c r="E299" s="88" t="n"/>
      <c r="F299" s="88" t="n"/>
      <c r="G299" s="88" t="n"/>
      <c r="H299" s="89" t="n"/>
      <c r="I299" s="88" t="n"/>
      <c r="J299" s="88" t="n"/>
      <c r="K299" s="88" t="n"/>
    </row>
    <row r="300" ht="18" customHeight="1" s="62">
      <c r="A300" s="4" t="n"/>
      <c r="B300" s="4" t="n"/>
      <c r="C300" s="4" t="n"/>
      <c r="D300" s="90" t="n"/>
      <c r="E300" s="90" t="n"/>
      <c r="F300" s="90" t="n"/>
      <c r="G300" s="90" t="n"/>
      <c r="H300" s="91" t="n"/>
      <c r="I300" s="90" t="n"/>
      <c r="J300" s="90" t="n"/>
      <c r="K300" s="90" t="n"/>
    </row>
    <row r="301" ht="18" customHeight="1" s="62">
      <c r="A301" s="5" t="n"/>
      <c r="B301" s="5" t="n"/>
      <c r="C301" s="5" t="n"/>
      <c r="D301" s="88" t="n"/>
      <c r="E301" s="88" t="n"/>
      <c r="F301" s="88" t="n"/>
      <c r="G301" s="88" t="n"/>
      <c r="H301" s="89" t="n"/>
      <c r="I301" s="88" t="n"/>
      <c r="J301" s="88" t="n"/>
      <c r="K301" s="88" t="n"/>
    </row>
    <row r="302" ht="18" customHeight="1" s="62">
      <c r="A302" s="2" t="inlineStr">
        <is>
          <t>SW 33</t>
        </is>
      </c>
      <c r="B302" s="11">
        <f>Ferien!$F$48</f>
        <v/>
      </c>
      <c r="C302" s="3" t="inlineStr">
        <is>
          <t>SW 33</t>
        </is>
      </c>
      <c r="D302" s="86">
        <f>TEXT(B302,"TT.MM.")&amp;" – "&amp;TEXT(B302+4,"TT.MM.JJJJ")</f>
        <v/>
      </c>
      <c r="E302" s="87" t="n"/>
      <c r="F302" s="87" t="n"/>
      <c r="G302" s="87" t="n"/>
      <c r="H302" s="87" t="n"/>
      <c r="I302" s="87" t="n"/>
      <c r="J302" s="87" t="n"/>
      <c r="K302" s="87" t="n"/>
    </row>
    <row r="303" ht="18" customHeight="1" s="62">
      <c r="A303" s="4" t="n"/>
      <c r="B303" s="4" t="n"/>
      <c r="C303" s="4" t="n"/>
      <c r="D303" s="88" t="n"/>
      <c r="E303" s="88" t="n"/>
      <c r="F303" s="88" t="n"/>
      <c r="G303" s="88" t="n"/>
      <c r="H303" s="89" t="n"/>
      <c r="I303" s="88" t="n"/>
      <c r="J303" s="88" t="n"/>
      <c r="K303" s="88" t="n"/>
    </row>
    <row r="304" ht="18" customHeight="1" s="62">
      <c r="A304" s="5" t="n"/>
      <c r="B304" s="5" t="n"/>
      <c r="C304" s="5" t="n"/>
      <c r="D304" s="90" t="n"/>
      <c r="E304" s="90" t="n"/>
      <c r="F304" s="90" t="n"/>
      <c r="G304" s="90" t="n"/>
      <c r="H304" s="91" t="n"/>
      <c r="I304" s="90" t="n"/>
      <c r="J304" s="90" t="n"/>
      <c r="K304" s="90" t="n"/>
    </row>
    <row r="305" ht="18" customHeight="1" s="62">
      <c r="A305" s="4" t="n"/>
      <c r="B305" s="4" t="n"/>
      <c r="C305" s="4" t="n"/>
      <c r="D305" s="88" t="n"/>
      <c r="E305" s="88" t="n"/>
      <c r="F305" s="88" t="n"/>
      <c r="G305" s="88" t="n"/>
      <c r="H305" s="89" t="n"/>
      <c r="I305" s="88" t="n"/>
      <c r="J305" s="88" t="n"/>
      <c r="K305" s="88" t="n"/>
    </row>
    <row r="306" ht="18" customHeight="1" s="62">
      <c r="A306" s="5" t="n"/>
      <c r="B306" s="5" t="n"/>
      <c r="C306" s="5" t="n"/>
      <c r="D306" s="90" t="n"/>
      <c r="E306" s="90" t="n"/>
      <c r="F306" s="90" t="n"/>
      <c r="G306" s="90" t="n"/>
      <c r="H306" s="91" t="n"/>
      <c r="I306" s="90" t="n"/>
      <c r="J306" s="90" t="n"/>
      <c r="K306" s="90" t="n"/>
    </row>
    <row r="307" ht="18" customHeight="1" s="62">
      <c r="A307" s="4" t="n"/>
      <c r="B307" s="4" t="n"/>
      <c r="C307" s="4" t="n"/>
      <c r="D307" s="88" t="n"/>
      <c r="E307" s="88" t="n"/>
      <c r="F307" s="88" t="n"/>
      <c r="G307" s="88" t="n"/>
      <c r="H307" s="89" t="n"/>
      <c r="I307" s="88" t="n"/>
      <c r="J307" s="88" t="n"/>
      <c r="K307" s="88" t="n"/>
    </row>
    <row r="308" ht="18" customHeight="1" s="62">
      <c r="A308" s="5" t="n"/>
      <c r="B308" s="5" t="n"/>
      <c r="C308" s="5" t="n"/>
      <c r="D308" s="90" t="n"/>
      <c r="E308" s="90" t="n"/>
      <c r="F308" s="90" t="n"/>
      <c r="G308" s="90" t="n"/>
      <c r="H308" s="91" t="n"/>
      <c r="I308" s="90" t="n"/>
      <c r="J308" s="90" t="n"/>
      <c r="K308" s="90" t="n"/>
    </row>
    <row r="309" ht="18" customHeight="1" s="62">
      <c r="A309" s="4" t="n"/>
      <c r="B309" s="4" t="n"/>
      <c r="C309" s="4" t="n"/>
      <c r="D309" s="88" t="n"/>
      <c r="E309" s="88" t="n"/>
      <c r="F309" s="88" t="n"/>
      <c r="G309" s="88" t="n"/>
      <c r="H309" s="89" t="n"/>
      <c r="I309" s="88" t="n"/>
      <c r="J309" s="88" t="n"/>
      <c r="K309" s="88" t="n"/>
    </row>
    <row r="310" ht="18" customHeight="1" s="62">
      <c r="A310" s="5" t="n"/>
      <c r="B310" s="5" t="n"/>
      <c r="C310" s="5" t="n"/>
      <c r="D310" s="90" t="n"/>
      <c r="E310" s="90" t="n"/>
      <c r="F310" s="90" t="n"/>
      <c r="G310" s="90" t="n"/>
      <c r="H310" s="91" t="n"/>
      <c r="I310" s="90" t="n"/>
      <c r="J310" s="90" t="n"/>
      <c r="K310" s="90" t="n"/>
    </row>
    <row r="311" ht="18" customHeight="1" s="62">
      <c r="A311" s="6" t="inlineStr">
        <is>
          <t>FERIEN</t>
        </is>
      </c>
      <c r="B311" s="6" t="inlineStr">
        <is>
          <t>2026-05-25</t>
        </is>
      </c>
      <c r="C311" s="6" t="inlineStr">
        <is>
          <t>FERIEN</t>
        </is>
      </c>
      <c r="D311" s="88" t="inlineStr">
        <is>
          <t>25.05.2026 – 29.05.2026</t>
        </is>
      </c>
      <c r="E311" s="88" t="n"/>
      <c r="F311" s="88" t="n"/>
      <c r="G311" s="88" t="n"/>
      <c r="H311" s="89" t="inlineStr">
        <is>
          <t>Pfingstferien</t>
        </is>
      </c>
      <c r="I311" s="88" t="inlineStr">
        <is>
          <t>Feiertage/Ferien</t>
        </is>
      </c>
      <c r="J311" s="88" t="n"/>
      <c r="K311" s="88" t="n"/>
    </row>
    <row r="312" ht="18" customHeight="1" s="62">
      <c r="A312" s="2" t="inlineStr">
        <is>
          <t>SW 34</t>
        </is>
      </c>
      <c r="B312" s="11">
        <f>Ferien!$F$49</f>
        <v/>
      </c>
      <c r="C312" s="3" t="inlineStr">
        <is>
          <t>SW 34</t>
        </is>
      </c>
      <c r="D312" s="86">
        <f>TEXT(B312,"TT.MM.")&amp;" – "&amp;TEXT(B312+4,"TT.MM.JJJJ")</f>
        <v/>
      </c>
      <c r="E312" s="87" t="n"/>
      <c r="F312" s="87" t="n"/>
      <c r="G312" s="87" t="n"/>
      <c r="H312" s="87" t="n"/>
      <c r="I312" s="87" t="n"/>
      <c r="J312" s="87" t="n"/>
      <c r="K312" s="87" t="n"/>
    </row>
    <row r="313" ht="18" customHeight="1" s="62">
      <c r="A313" s="4" t="n"/>
      <c r="B313" s="4" t="n"/>
      <c r="C313" s="4" t="n"/>
      <c r="D313" s="88" t="n"/>
      <c r="E313" s="88" t="n"/>
      <c r="F313" s="88" t="n"/>
      <c r="G313" s="88" t="n"/>
      <c r="H313" s="89" t="n"/>
      <c r="I313" s="88" t="n"/>
      <c r="J313" s="88" t="n"/>
      <c r="K313" s="88" t="n"/>
    </row>
    <row r="314" ht="18" customHeight="1" s="62">
      <c r="A314" s="5" t="n"/>
      <c r="B314" s="5" t="n"/>
      <c r="C314" s="5" t="n"/>
      <c r="D314" s="90" t="n"/>
      <c r="E314" s="90" t="n"/>
      <c r="F314" s="90" t="n"/>
      <c r="G314" s="90" t="n"/>
      <c r="H314" s="91" t="n"/>
      <c r="I314" s="90" t="n"/>
      <c r="J314" s="90" t="n"/>
      <c r="K314" s="90" t="n"/>
    </row>
    <row r="315" ht="18" customHeight="1" s="62">
      <c r="A315" s="4" t="n"/>
      <c r="B315" s="4" t="n"/>
      <c r="C315" s="4" t="n"/>
      <c r="D315" s="88" t="n"/>
      <c r="E315" s="88" t="n"/>
      <c r="F315" s="88" t="n"/>
      <c r="G315" s="88" t="n"/>
      <c r="H315" s="89" t="n"/>
      <c r="I315" s="88" t="n"/>
      <c r="J315" s="88" t="n"/>
      <c r="K315" s="88" t="n"/>
    </row>
    <row r="316" ht="18" customHeight="1" s="62">
      <c r="A316" s="5" t="n"/>
      <c r="B316" s="5" t="n"/>
      <c r="C316" s="5" t="n"/>
      <c r="D316" s="90" t="n"/>
      <c r="E316" s="90" t="n"/>
      <c r="F316" s="90" t="n"/>
      <c r="G316" s="90" t="n"/>
      <c r="H316" s="91" t="n"/>
      <c r="I316" s="90" t="n"/>
      <c r="J316" s="90" t="n"/>
      <c r="K316" s="90" t="n"/>
    </row>
    <row r="317" ht="18" customHeight="1" s="62">
      <c r="A317" s="4" t="n"/>
      <c r="B317" s="4" t="n"/>
      <c r="C317" s="4" t="n"/>
      <c r="D317" s="88" t="n"/>
      <c r="E317" s="88" t="n"/>
      <c r="F317" s="88" t="n"/>
      <c r="G317" s="88" t="n"/>
      <c r="H317" s="89" t="n"/>
      <c r="I317" s="88" t="n"/>
      <c r="J317" s="88" t="n"/>
      <c r="K317" s="88" t="n"/>
    </row>
    <row r="318" ht="18" customHeight="1" s="62">
      <c r="A318" s="5" t="n"/>
      <c r="B318" s="5" t="n"/>
      <c r="C318" s="5" t="n"/>
      <c r="D318" s="90" t="n"/>
      <c r="E318" s="90" t="n"/>
      <c r="F318" s="90" t="n"/>
      <c r="G318" s="90" t="n"/>
      <c r="H318" s="91" t="n"/>
      <c r="I318" s="90" t="n"/>
      <c r="J318" s="90" t="n"/>
      <c r="K318" s="90" t="n"/>
    </row>
    <row r="319" ht="18" customHeight="1" s="62">
      <c r="A319" s="4" t="n"/>
      <c r="B319" s="4" t="n"/>
      <c r="C319" s="4" t="n"/>
      <c r="D319" s="88" t="n"/>
      <c r="E319" s="88" t="n"/>
      <c r="F319" s="88" t="n"/>
      <c r="G319" s="88" t="n"/>
      <c r="H319" s="89" t="n"/>
      <c r="I319" s="88" t="n"/>
      <c r="J319" s="88" t="n"/>
      <c r="K319" s="88" t="n"/>
    </row>
    <row r="320" ht="18" customHeight="1" s="62">
      <c r="A320" s="5" t="n"/>
      <c r="B320" s="5" t="n"/>
      <c r="C320" s="5" t="n"/>
      <c r="D320" s="90" t="n"/>
      <c r="E320" s="90" t="n"/>
      <c r="F320" s="90" t="n"/>
      <c r="G320" s="90" t="n"/>
      <c r="H320" s="91" t="n"/>
      <c r="I320" s="90" t="n"/>
      <c r="J320" s="90" t="n"/>
      <c r="K320" s="90" t="n"/>
    </row>
    <row r="321" ht="18" customHeight="1" s="62">
      <c r="A321" s="2" t="inlineStr">
        <is>
          <t>SW 35</t>
        </is>
      </c>
      <c r="B321" s="11">
        <f>Ferien!$F$50</f>
        <v/>
      </c>
      <c r="C321" s="3" t="inlineStr">
        <is>
          <t>SW 35</t>
        </is>
      </c>
      <c r="D321" s="86">
        <f>TEXT(B321,"TT.MM.")&amp;" – "&amp;TEXT(B321+4,"TT.MM.JJJJ")</f>
        <v/>
      </c>
      <c r="E321" s="87" t="n"/>
      <c r="F321" s="87" t="n"/>
      <c r="G321" s="87" t="n"/>
      <c r="H321" s="87" t="n"/>
      <c r="I321" s="87" t="n"/>
      <c r="J321" s="87" t="n"/>
      <c r="K321" s="87" t="n"/>
    </row>
    <row r="322" ht="18" customHeight="1" s="62">
      <c r="A322" s="4" t="n"/>
      <c r="B322" s="4" t="n"/>
      <c r="C322" s="4" t="n"/>
      <c r="D322" s="90" t="n"/>
      <c r="E322" s="90" t="n"/>
      <c r="F322" s="90" t="n"/>
      <c r="G322" s="90" t="n"/>
      <c r="H322" s="91" t="n"/>
      <c r="I322" s="90" t="n"/>
      <c r="J322" s="90" t="n"/>
      <c r="K322" s="90" t="n"/>
    </row>
    <row r="323" ht="18" customHeight="1" s="62">
      <c r="A323" s="5" t="n"/>
      <c r="B323" s="5" t="n"/>
      <c r="C323" s="5" t="n"/>
      <c r="D323" s="88" t="n"/>
      <c r="E323" s="88" t="n"/>
      <c r="F323" s="88" t="n"/>
      <c r="G323" s="88" t="n"/>
      <c r="H323" s="89" t="n"/>
      <c r="I323" s="88" t="n"/>
      <c r="J323" s="88" t="n"/>
      <c r="K323" s="88" t="n"/>
    </row>
    <row r="324" ht="18" customHeight="1" s="62">
      <c r="A324" s="4" t="n"/>
      <c r="B324" s="4" t="n"/>
      <c r="C324" s="4" t="n"/>
      <c r="D324" s="90" t="n"/>
      <c r="E324" s="90" t="n"/>
      <c r="F324" s="90" t="n"/>
      <c r="G324" s="90" t="n"/>
      <c r="H324" s="91" t="n"/>
      <c r="I324" s="90" t="n"/>
      <c r="J324" s="90" t="n"/>
      <c r="K324" s="90" t="n"/>
    </row>
    <row r="325" ht="18" customHeight="1" s="62">
      <c r="A325" s="5" t="n"/>
      <c r="B325" s="5" t="n"/>
      <c r="C325" s="5" t="n"/>
      <c r="D325" s="88" t="n"/>
      <c r="E325" s="88" t="n"/>
      <c r="F325" s="88" t="n"/>
      <c r="G325" s="88" t="n"/>
      <c r="H325" s="89" t="n"/>
      <c r="I325" s="88" t="n"/>
      <c r="J325" s="88" t="n"/>
      <c r="K325" s="88" t="n"/>
    </row>
    <row r="326" ht="18" customHeight="1" s="62">
      <c r="A326" s="4" t="n"/>
      <c r="B326" s="4" t="n"/>
      <c r="C326" s="4" t="n"/>
      <c r="D326" s="90" t="n"/>
      <c r="E326" s="90" t="n"/>
      <c r="F326" s="90" t="n"/>
      <c r="G326" s="90" t="n"/>
      <c r="H326" s="91" t="n"/>
      <c r="I326" s="90" t="n"/>
      <c r="J326" s="90" t="n"/>
      <c r="K326" s="90" t="n"/>
    </row>
    <row r="327" ht="18" customHeight="1" s="62">
      <c r="A327" s="5" t="n"/>
      <c r="B327" s="5" t="n"/>
      <c r="C327" s="5" t="n"/>
      <c r="D327" s="88" t="n"/>
      <c r="E327" s="88" t="n"/>
      <c r="F327" s="88" t="n"/>
      <c r="G327" s="88" t="n"/>
      <c r="H327" s="89" t="n"/>
      <c r="I327" s="88" t="n"/>
      <c r="J327" s="88" t="n"/>
      <c r="K327" s="88" t="n"/>
    </row>
    <row r="328" ht="18" customHeight="1" s="62">
      <c r="A328" s="4" t="n"/>
      <c r="B328" s="4" t="n"/>
      <c r="C328" s="4" t="n"/>
      <c r="D328" s="90" t="n"/>
      <c r="E328" s="90" t="n"/>
      <c r="F328" s="90" t="n"/>
      <c r="G328" s="90" t="n"/>
      <c r="H328" s="91" t="n"/>
      <c r="I328" s="90" t="n"/>
      <c r="J328" s="90" t="n"/>
      <c r="K328" s="90" t="n"/>
    </row>
    <row r="329" ht="18" customHeight="1" s="62">
      <c r="A329" s="5" t="n"/>
      <c r="B329" s="5" t="n"/>
      <c r="C329" s="5" t="n"/>
      <c r="D329" s="88" t="n"/>
      <c r="E329" s="88" t="n"/>
      <c r="F329" s="88" t="n"/>
      <c r="G329" s="88" t="n"/>
      <c r="H329" s="89" t="n"/>
      <c r="I329" s="88" t="n"/>
      <c r="J329" s="88" t="n"/>
      <c r="K329" s="88" t="n"/>
    </row>
    <row r="330" ht="18" customHeight="1" s="62">
      <c r="A330" s="2" t="inlineStr">
        <is>
          <t>SW 36</t>
        </is>
      </c>
      <c r="B330" s="11">
        <f>Ferien!$F$51</f>
        <v/>
      </c>
      <c r="C330" s="3" t="inlineStr">
        <is>
          <t>SW 36</t>
        </is>
      </c>
      <c r="D330" s="86">
        <f>TEXT(B330,"TT.MM.")&amp;" – "&amp;TEXT(B330+4,"TT.MM.JJJJ")</f>
        <v/>
      </c>
      <c r="E330" s="87" t="n"/>
      <c r="F330" s="87" t="n"/>
      <c r="G330" s="87" t="n"/>
      <c r="H330" s="87" t="n"/>
      <c r="I330" s="87" t="n"/>
      <c r="J330" s="87" t="n"/>
      <c r="K330" s="87" t="n"/>
    </row>
    <row r="331" ht="18" customHeight="1" s="62">
      <c r="A331" s="4" t="n"/>
      <c r="B331" s="4" t="n"/>
      <c r="C331" s="4" t="n"/>
      <c r="D331" s="88" t="n"/>
      <c r="E331" s="88" t="n"/>
      <c r="F331" s="88" t="n"/>
      <c r="G331" s="88" t="n"/>
      <c r="H331" s="89" t="n"/>
      <c r="I331" s="88" t="n"/>
      <c r="J331" s="88" t="n"/>
      <c r="K331" s="88" t="n"/>
    </row>
    <row r="332" ht="18" customHeight="1" s="62">
      <c r="A332" s="5" t="n"/>
      <c r="B332" s="5" t="n"/>
      <c r="C332" s="5" t="n"/>
      <c r="D332" s="90" t="n"/>
      <c r="E332" s="90" t="n"/>
      <c r="F332" s="90" t="n"/>
      <c r="G332" s="90" t="n"/>
      <c r="H332" s="91" t="n"/>
      <c r="I332" s="90" t="n"/>
      <c r="J332" s="90" t="n"/>
      <c r="K332" s="90" t="n"/>
    </row>
    <row r="333" ht="18" customHeight="1" s="62">
      <c r="A333" s="4" t="n"/>
      <c r="B333" s="4" t="n"/>
      <c r="C333" s="4" t="n"/>
      <c r="D333" s="88" t="n"/>
      <c r="E333" s="88" t="n"/>
      <c r="F333" s="88" t="n"/>
      <c r="G333" s="88" t="n"/>
      <c r="H333" s="89" t="n"/>
      <c r="I333" s="88" t="n"/>
      <c r="J333" s="88" t="n"/>
      <c r="K333" s="88" t="n"/>
    </row>
    <row r="334" ht="18" customHeight="1" s="62">
      <c r="A334" s="5" t="n"/>
      <c r="B334" s="5" t="n"/>
      <c r="C334" s="5" t="n"/>
      <c r="D334" s="90" t="n"/>
      <c r="E334" s="90" t="n"/>
      <c r="F334" s="90" t="n"/>
      <c r="G334" s="90" t="n"/>
      <c r="H334" s="91" t="n"/>
      <c r="I334" s="90" t="n"/>
      <c r="J334" s="90" t="n"/>
      <c r="K334" s="90" t="n"/>
    </row>
    <row r="335" ht="18" customHeight="1" s="62">
      <c r="A335" s="4" t="n"/>
      <c r="B335" s="4" t="n"/>
      <c r="C335" s="4" t="n"/>
      <c r="D335" s="88" t="n"/>
      <c r="E335" s="88" t="n"/>
      <c r="F335" s="88" t="n"/>
      <c r="G335" s="88" t="n"/>
      <c r="H335" s="89" t="n"/>
      <c r="I335" s="88" t="n"/>
      <c r="J335" s="88" t="n"/>
      <c r="K335" s="88" t="n"/>
    </row>
    <row r="336" ht="18" customHeight="1" s="62">
      <c r="A336" s="5" t="n"/>
      <c r="B336" s="5" t="n"/>
      <c r="C336" s="5" t="n"/>
      <c r="D336" s="90" t="n"/>
      <c r="E336" s="90" t="n"/>
      <c r="F336" s="90" t="n"/>
      <c r="G336" s="90" t="n"/>
      <c r="H336" s="91" t="n"/>
      <c r="I336" s="90" t="n"/>
      <c r="J336" s="90" t="n"/>
      <c r="K336" s="90" t="n"/>
    </row>
    <row r="337" ht="18" customHeight="1" s="62">
      <c r="A337" s="4" t="n"/>
      <c r="B337" s="4" t="n"/>
      <c r="C337" s="4" t="n"/>
      <c r="D337" s="88" t="n"/>
      <c r="E337" s="88" t="n"/>
      <c r="F337" s="88" t="n"/>
      <c r="G337" s="88" t="n"/>
      <c r="H337" s="89" t="n"/>
      <c r="I337" s="88" t="n"/>
      <c r="J337" s="88" t="n"/>
      <c r="K337" s="88" t="n"/>
    </row>
    <row r="338" ht="18" customHeight="1" s="62">
      <c r="A338" s="5" t="n"/>
      <c r="B338" s="5" t="n"/>
      <c r="C338" s="5" t="n"/>
      <c r="D338" s="90" t="n"/>
      <c r="E338" s="90" t="n"/>
      <c r="F338" s="90" t="n"/>
      <c r="G338" s="90" t="n"/>
      <c r="H338" s="91" t="n"/>
      <c r="I338" s="90" t="n"/>
      <c r="J338" s="90" t="n"/>
      <c r="K338" s="90" t="n"/>
    </row>
    <row r="339" ht="18" customHeight="1" s="62">
      <c r="A339" s="2" t="inlineStr">
        <is>
          <t>SW 37</t>
        </is>
      </c>
      <c r="B339" s="11">
        <f>Ferien!$F$52</f>
        <v/>
      </c>
      <c r="C339" s="3" t="inlineStr">
        <is>
          <t>SW 37</t>
        </is>
      </c>
      <c r="D339" s="86">
        <f>TEXT(B339,"TT.MM.")&amp;" – "&amp;TEXT(B339+4,"TT.MM.JJJJ")</f>
        <v/>
      </c>
      <c r="E339" s="87" t="n"/>
      <c r="F339" s="87" t="n"/>
      <c r="G339" s="87" t="n"/>
      <c r="H339" s="87" t="n"/>
      <c r="I339" s="87" t="n"/>
      <c r="J339" s="87" t="n"/>
      <c r="K339" s="87" t="n"/>
    </row>
    <row r="340" ht="18" customHeight="1" s="62">
      <c r="A340" s="4" t="n"/>
      <c r="B340" s="4" t="n"/>
      <c r="C340" s="4" t="n"/>
      <c r="D340" s="90" t="n"/>
      <c r="E340" s="90" t="n"/>
      <c r="F340" s="90" t="n"/>
      <c r="G340" s="90" t="n"/>
      <c r="H340" s="91" t="n"/>
      <c r="I340" s="90" t="n"/>
      <c r="J340" s="90" t="n"/>
      <c r="K340" s="90" t="n"/>
    </row>
    <row r="341" ht="18" customHeight="1" s="62">
      <c r="A341" s="5" t="n"/>
      <c r="B341" s="5" t="n"/>
      <c r="C341" s="5" t="n"/>
      <c r="D341" s="88" t="n"/>
      <c r="E341" s="88" t="n"/>
      <c r="F341" s="88" t="n"/>
      <c r="G341" s="88" t="n"/>
      <c r="H341" s="89" t="n"/>
      <c r="I341" s="88" t="n"/>
      <c r="J341" s="88" t="n"/>
      <c r="K341" s="88" t="n"/>
    </row>
    <row r="342" ht="18" customHeight="1" s="62">
      <c r="A342" s="4" t="n"/>
      <c r="B342" s="4" t="n"/>
      <c r="C342" s="4" t="n"/>
      <c r="D342" s="90" t="n"/>
      <c r="E342" s="90" t="n"/>
      <c r="F342" s="90" t="n"/>
      <c r="G342" s="90" t="n"/>
      <c r="H342" s="91" t="n"/>
      <c r="I342" s="90" t="n"/>
      <c r="J342" s="90" t="n"/>
      <c r="K342" s="90" t="n"/>
    </row>
    <row r="343" ht="18" customHeight="1" s="62">
      <c r="A343" s="5" t="n"/>
      <c r="B343" s="5" t="n"/>
      <c r="C343" s="5" t="n"/>
      <c r="D343" s="88" t="n"/>
      <c r="E343" s="88" t="n"/>
      <c r="F343" s="88" t="n"/>
      <c r="G343" s="88" t="n"/>
      <c r="H343" s="89" t="n"/>
      <c r="I343" s="88" t="n"/>
      <c r="J343" s="88" t="n"/>
      <c r="K343" s="88" t="n"/>
    </row>
    <row r="344" ht="18" customHeight="1" s="62">
      <c r="A344" s="4" t="n"/>
      <c r="B344" s="4" t="n"/>
      <c r="C344" s="4" t="n"/>
      <c r="D344" s="90" t="n"/>
      <c r="E344" s="90" t="n"/>
      <c r="F344" s="90" t="n"/>
      <c r="G344" s="90" t="n"/>
      <c r="H344" s="91" t="n"/>
      <c r="I344" s="90" t="n"/>
      <c r="J344" s="90" t="n"/>
      <c r="K344" s="90" t="n"/>
    </row>
    <row r="345" ht="18" customHeight="1" s="62">
      <c r="A345" s="5" t="n"/>
      <c r="B345" s="5" t="n"/>
      <c r="C345" s="5" t="n"/>
      <c r="D345" s="88" t="n"/>
      <c r="E345" s="88" t="n"/>
      <c r="F345" s="88" t="n"/>
      <c r="G345" s="88" t="n"/>
      <c r="H345" s="89" t="n"/>
      <c r="I345" s="88" t="n"/>
      <c r="J345" s="88" t="n"/>
      <c r="K345" s="88" t="n"/>
    </row>
    <row r="346" ht="18" customHeight="1" s="62">
      <c r="A346" s="4" t="n"/>
      <c r="B346" s="4" t="n"/>
      <c r="C346" s="4" t="n"/>
      <c r="D346" s="90" t="n"/>
      <c r="E346" s="90" t="n"/>
      <c r="F346" s="90" t="n"/>
      <c r="G346" s="90" t="n"/>
      <c r="H346" s="91" t="n"/>
      <c r="I346" s="90" t="n"/>
      <c r="J346" s="90" t="n"/>
      <c r="K346" s="90" t="n"/>
    </row>
    <row r="347" ht="18" customHeight="1" s="62">
      <c r="A347" s="5" t="n"/>
      <c r="B347" s="5" t="n"/>
      <c r="C347" s="5" t="n"/>
      <c r="D347" s="88" t="n"/>
      <c r="E347" s="88" t="n"/>
      <c r="F347" s="88" t="n"/>
      <c r="G347" s="88" t="n"/>
      <c r="H347" s="89" t="n"/>
      <c r="I347" s="88" t="n"/>
      <c r="J347" s="88" t="n"/>
      <c r="K347" s="88" t="n"/>
    </row>
    <row r="348" ht="18" customHeight="1" s="62">
      <c r="A348" s="2" t="inlineStr">
        <is>
          <t>SW 38</t>
        </is>
      </c>
      <c r="B348" s="11">
        <f>Ferien!$F$53</f>
        <v/>
      </c>
      <c r="C348" s="3" t="inlineStr">
        <is>
          <t>SW 38</t>
        </is>
      </c>
      <c r="D348" s="86">
        <f>TEXT(B348,"TT.MM.")&amp;" – "&amp;TEXT(B348+4,"TT.MM.JJJJ")</f>
        <v/>
      </c>
      <c r="E348" s="87" t="n"/>
      <c r="F348" s="87" t="n"/>
      <c r="G348" s="87" t="n"/>
      <c r="H348" s="87" t="n"/>
      <c r="I348" s="87" t="n"/>
      <c r="J348" s="87" t="n"/>
      <c r="K348" s="87" t="n"/>
    </row>
    <row r="349" ht="18" customHeight="1" s="62">
      <c r="A349" s="4" t="n"/>
      <c r="B349" s="4" t="n"/>
      <c r="C349" s="4" t="n"/>
      <c r="D349" s="88" t="n"/>
      <c r="E349" s="88" t="n"/>
      <c r="F349" s="88" t="n"/>
      <c r="G349" s="88" t="n"/>
      <c r="H349" s="89" t="n"/>
      <c r="I349" s="88" t="n"/>
      <c r="J349" s="88" t="n"/>
      <c r="K349" s="88" t="n"/>
    </row>
    <row r="350" ht="18" customHeight="1" s="62">
      <c r="A350" s="5" t="n"/>
      <c r="B350" s="5" t="n"/>
      <c r="C350" s="5" t="n"/>
      <c r="D350" s="90" t="n"/>
      <c r="E350" s="90" t="n"/>
      <c r="F350" s="90" t="n"/>
      <c r="G350" s="90" t="n"/>
      <c r="H350" s="91" t="n"/>
      <c r="I350" s="90" t="n"/>
      <c r="J350" s="90" t="n"/>
      <c r="K350" s="90" t="n"/>
    </row>
    <row r="351" ht="18" customHeight="1" s="62">
      <c r="A351" s="4" t="n"/>
      <c r="B351" s="4" t="n"/>
      <c r="C351" s="4" t="n"/>
      <c r="D351" s="88" t="n"/>
      <c r="E351" s="88" t="n"/>
      <c r="F351" s="88" t="n"/>
      <c r="G351" s="88" t="n"/>
      <c r="H351" s="89" t="n"/>
      <c r="I351" s="88" t="n"/>
      <c r="J351" s="88" t="n"/>
      <c r="K351" s="88" t="n"/>
    </row>
    <row r="352" ht="18" customHeight="1" s="62">
      <c r="A352" s="5" t="n"/>
      <c r="B352" s="5" t="n"/>
      <c r="C352" s="5" t="n"/>
      <c r="D352" s="90" t="n"/>
      <c r="E352" s="90" t="n"/>
      <c r="F352" s="90" t="n"/>
      <c r="G352" s="90" t="n"/>
      <c r="H352" s="91" t="n"/>
      <c r="I352" s="90" t="n"/>
      <c r="J352" s="90" t="n"/>
      <c r="K352" s="90" t="n"/>
    </row>
    <row r="353" ht="18" customHeight="1" s="62">
      <c r="A353" s="4" t="n"/>
      <c r="B353" s="4" t="n"/>
      <c r="C353" s="4" t="n"/>
      <c r="D353" s="88" t="n"/>
      <c r="E353" s="88" t="n"/>
      <c r="F353" s="88" t="n"/>
      <c r="G353" s="88" t="n"/>
      <c r="H353" s="89" t="n"/>
      <c r="I353" s="88" t="n"/>
      <c r="J353" s="88" t="n"/>
      <c r="K353" s="88" t="n"/>
    </row>
    <row r="354" ht="18" customHeight="1" s="62">
      <c r="A354" s="5" t="n"/>
      <c r="B354" s="5" t="n"/>
      <c r="C354" s="5" t="n"/>
      <c r="D354" s="90" t="n"/>
      <c r="E354" s="90" t="n"/>
      <c r="F354" s="90" t="n"/>
      <c r="G354" s="90" t="n"/>
      <c r="H354" s="91" t="n"/>
      <c r="I354" s="90" t="n"/>
      <c r="J354" s="90" t="n"/>
      <c r="K354" s="90" t="n"/>
    </row>
    <row r="355" ht="18" customHeight="1" s="62">
      <c r="A355" s="4" t="n"/>
      <c r="B355" s="4" t="n"/>
      <c r="C355" s="4" t="n"/>
      <c r="D355" s="88" t="n"/>
      <c r="E355" s="88" t="n"/>
      <c r="F355" s="88" t="n"/>
      <c r="G355" s="88" t="n"/>
      <c r="H355" s="89" t="n"/>
      <c r="I355" s="88" t="n"/>
      <c r="J355" s="88" t="n"/>
      <c r="K355" s="88" t="n"/>
    </row>
    <row r="356" ht="18" customHeight="1" s="62">
      <c r="A356" s="5" t="n"/>
      <c r="B356" s="5" t="n"/>
      <c r="C356" s="5" t="n"/>
      <c r="D356" s="90" t="n"/>
      <c r="E356" s="90" t="n"/>
      <c r="F356" s="90" t="n"/>
      <c r="G356" s="90" t="n"/>
      <c r="H356" s="91" t="n"/>
      <c r="I356" s="90" t="n"/>
      <c r="J356" s="90" t="n"/>
      <c r="K356" s="90" t="n"/>
    </row>
    <row r="357" ht="18" customHeight="1" s="62">
      <c r="A357" s="2" t="inlineStr">
        <is>
          <t>SW 39</t>
        </is>
      </c>
      <c r="B357" s="11">
        <f>Ferien!$F$54</f>
        <v/>
      </c>
      <c r="C357" s="3" t="inlineStr">
        <is>
          <t>SW 39</t>
        </is>
      </c>
      <c r="D357" s="86">
        <f>TEXT(B357,"TT.MM.")&amp;" – "&amp;TEXT(B357+4,"TT.MM.JJJJ")</f>
        <v/>
      </c>
      <c r="E357" s="87" t="n"/>
      <c r="F357" s="87" t="n"/>
      <c r="G357" s="87" t="n"/>
      <c r="H357" s="87" t="n"/>
      <c r="I357" s="87" t="n"/>
      <c r="J357" s="87" t="n"/>
      <c r="K357" s="87" t="n"/>
    </row>
    <row r="358" ht="18" customHeight="1" s="62">
      <c r="A358" s="4" t="n"/>
      <c r="B358" s="4" t="n"/>
      <c r="C358" s="4" t="n"/>
      <c r="D358" s="90" t="n"/>
      <c r="E358" s="90" t="n"/>
      <c r="F358" s="90" t="n"/>
      <c r="G358" s="90" t="n"/>
      <c r="H358" s="91" t="n"/>
      <c r="I358" s="90" t="n"/>
      <c r="J358" s="90" t="n"/>
      <c r="K358" s="90" t="n"/>
    </row>
    <row r="359" ht="18" customHeight="1" s="62">
      <c r="A359" s="5" t="n"/>
      <c r="B359" s="5" t="n"/>
      <c r="C359" s="5" t="n"/>
      <c r="D359" s="88" t="n"/>
      <c r="E359" s="88" t="n"/>
      <c r="F359" s="88" t="n"/>
      <c r="G359" s="88" t="n"/>
      <c r="H359" s="89" t="n"/>
      <c r="I359" s="88" t="n"/>
      <c r="J359" s="88" t="n"/>
      <c r="K359" s="88" t="n"/>
    </row>
    <row r="360" ht="18" customHeight="1" s="62">
      <c r="A360" s="4" t="n"/>
      <c r="B360" s="4" t="n"/>
      <c r="C360" s="4" t="n"/>
      <c r="D360" s="90" t="n"/>
      <c r="E360" s="90" t="n"/>
      <c r="F360" s="90" t="n"/>
      <c r="G360" s="90" t="n"/>
      <c r="H360" s="91" t="n"/>
      <c r="I360" s="90" t="n"/>
      <c r="J360" s="90" t="n"/>
      <c r="K360" s="90" t="n"/>
    </row>
    <row r="361" ht="18" customHeight="1" s="62">
      <c r="A361" s="5" t="n"/>
      <c r="B361" s="5" t="n"/>
      <c r="C361" s="5" t="n"/>
      <c r="D361" s="88" t="n"/>
      <c r="E361" s="88" t="n"/>
      <c r="F361" s="88" t="n"/>
      <c r="G361" s="88" t="n"/>
      <c r="H361" s="89" t="n"/>
      <c r="I361" s="88" t="n"/>
      <c r="J361" s="88" t="n"/>
      <c r="K361" s="88" t="n"/>
    </row>
    <row r="362" ht="18" customHeight="1" s="62">
      <c r="A362" s="4" t="n"/>
      <c r="B362" s="4" t="n"/>
      <c r="C362" s="4" t="n"/>
      <c r="D362" s="90" t="n"/>
      <c r="E362" s="90" t="n"/>
      <c r="F362" s="90" t="n"/>
      <c r="G362" s="90" t="n"/>
      <c r="H362" s="91" t="n"/>
      <c r="I362" s="90" t="n"/>
      <c r="J362" s="90" t="n"/>
      <c r="K362" s="90" t="n"/>
    </row>
    <row r="363" ht="18" customHeight="1" s="62">
      <c r="A363" s="5" t="n"/>
      <c r="B363" s="5" t="n"/>
      <c r="C363" s="5" t="n"/>
      <c r="D363" s="88" t="n"/>
      <c r="E363" s="88" t="n"/>
      <c r="F363" s="88" t="n"/>
      <c r="G363" s="88" t="n"/>
      <c r="H363" s="89" t="n"/>
      <c r="I363" s="88" t="n"/>
      <c r="J363" s="88" t="n"/>
      <c r="K363" s="88" t="n"/>
    </row>
    <row r="364" ht="18" customHeight="1" s="62">
      <c r="A364" s="4" t="n"/>
      <c r="B364" s="4" t="n"/>
      <c r="C364" s="4" t="n"/>
      <c r="D364" s="90" t="n"/>
      <c r="E364" s="90" t="n"/>
      <c r="F364" s="90" t="n"/>
      <c r="G364" s="90" t="n"/>
      <c r="H364" s="91" t="n"/>
      <c r="I364" s="90" t="n"/>
      <c r="J364" s="90" t="n"/>
      <c r="K364" s="90" t="n"/>
    </row>
    <row r="365" ht="18" customHeight="1" s="62">
      <c r="A365" s="5" t="n"/>
      <c r="B365" s="5" t="n"/>
      <c r="C365" s="5" t="n"/>
      <c r="D365" s="88" t="n"/>
      <c r="E365" s="88" t="n"/>
      <c r="F365" s="88" t="n"/>
      <c r="G365" s="88" t="n"/>
      <c r="H365" s="89" t="n"/>
      <c r="I365" s="88" t="n"/>
      <c r="J365" s="88" t="n"/>
      <c r="K365" s="88" t="n"/>
    </row>
    <row r="366" ht="18" customHeight="1" s="62">
      <c r="A366" s="2" t="inlineStr">
        <is>
          <t>SW 40</t>
        </is>
      </c>
      <c r="B366" s="11">
        <f>Ferien!$F$55</f>
        <v/>
      </c>
      <c r="C366" s="3" t="inlineStr">
        <is>
          <t>SW 40</t>
        </is>
      </c>
      <c r="D366" s="86">
        <f>TEXT(B366,"TT.MM.")&amp;" – "&amp;TEXT(B366+4,"TT.MM.JJJJ")</f>
        <v/>
      </c>
      <c r="E366" s="87" t="n"/>
      <c r="F366" s="87" t="n"/>
      <c r="G366" s="87" t="n"/>
      <c r="H366" s="87" t="n"/>
      <c r="I366" s="87" t="n"/>
      <c r="J366" s="87" t="n"/>
      <c r="K366" s="87" t="n"/>
    </row>
    <row r="367" ht="18" customHeight="1" s="62">
      <c r="A367" s="4" t="n"/>
      <c r="B367" s="4" t="n"/>
      <c r="C367" s="4" t="n"/>
      <c r="D367" s="88" t="n"/>
      <c r="E367" s="88" t="n"/>
      <c r="F367" s="88" t="n"/>
      <c r="G367" s="88" t="n"/>
      <c r="H367" s="89" t="n"/>
      <c r="I367" s="88" t="n"/>
      <c r="J367" s="88" t="n"/>
      <c r="K367" s="88" t="n"/>
    </row>
    <row r="368" ht="18" customHeight="1" s="62">
      <c r="A368" s="5" t="n"/>
      <c r="B368" s="5" t="n"/>
      <c r="C368" s="5" t="n"/>
      <c r="D368" s="90" t="n"/>
      <c r="E368" s="90" t="n"/>
      <c r="F368" s="90" t="n"/>
      <c r="G368" s="90" t="n"/>
      <c r="H368" s="91" t="n"/>
      <c r="I368" s="90" t="n"/>
      <c r="J368" s="90" t="n"/>
      <c r="K368" s="90" t="n"/>
    </row>
    <row r="369" ht="18" customHeight="1" s="62">
      <c r="A369" s="4" t="n"/>
      <c r="B369" s="4" t="n"/>
      <c r="C369" s="4" t="n"/>
      <c r="D369" s="88" t="n"/>
      <c r="E369" s="88" t="n"/>
      <c r="F369" s="88" t="n"/>
      <c r="G369" s="88" t="n"/>
      <c r="H369" s="89" t="n"/>
      <c r="I369" s="88" t="n"/>
      <c r="J369" s="88" t="n"/>
      <c r="K369" s="88" t="n"/>
    </row>
    <row r="370" ht="18" customHeight="1" s="62">
      <c r="A370" s="5" t="n"/>
      <c r="B370" s="5" t="n"/>
      <c r="C370" s="5" t="n"/>
      <c r="D370" s="90" t="n"/>
      <c r="E370" s="90" t="n"/>
      <c r="F370" s="90" t="n"/>
      <c r="G370" s="90" t="n"/>
      <c r="H370" s="91" t="n"/>
      <c r="I370" s="90" t="n"/>
      <c r="J370" s="90" t="n"/>
      <c r="K370" s="90" t="n"/>
    </row>
    <row r="371" ht="18" customHeight="1" s="62">
      <c r="A371" s="4" t="n"/>
      <c r="B371" s="4" t="n"/>
      <c r="C371" s="4" t="n"/>
      <c r="D371" s="88" t="n"/>
      <c r="E371" s="88" t="n"/>
      <c r="F371" s="88" t="n"/>
      <c r="G371" s="88" t="n"/>
      <c r="H371" s="89" t="n"/>
      <c r="I371" s="88" t="n"/>
      <c r="J371" s="88" t="n"/>
      <c r="K371" s="88" t="n"/>
    </row>
    <row r="372" ht="18" customHeight="1" s="62">
      <c r="A372" s="5" t="n"/>
      <c r="B372" s="5" t="n"/>
      <c r="C372" s="5" t="n"/>
      <c r="D372" s="90" t="n"/>
      <c r="E372" s="90" t="n"/>
      <c r="F372" s="90" t="n"/>
      <c r="G372" s="90" t="n"/>
      <c r="H372" s="91" t="n"/>
      <c r="I372" s="90" t="n"/>
      <c r="J372" s="90" t="n"/>
      <c r="K372" s="90" t="n"/>
    </row>
    <row r="373" ht="18" customHeight="1" s="62">
      <c r="A373" s="4" t="n"/>
      <c r="B373" s="4" t="n"/>
      <c r="C373" s="4" t="n"/>
      <c r="D373" s="88" t="n"/>
      <c r="E373" s="88" t="n"/>
      <c r="F373" s="88" t="n"/>
      <c r="G373" s="88" t="n"/>
      <c r="H373" s="89" t="n"/>
      <c r="I373" s="88" t="n"/>
      <c r="J373" s="88" t="n"/>
      <c r="K373" s="88" t="n"/>
    </row>
    <row r="374" ht="18" customHeight="1" s="62">
      <c r="A374" s="5" t="n"/>
      <c r="B374" s="5" t="n"/>
      <c r="C374" s="5" t="n"/>
      <c r="D374" s="90" t="n"/>
      <c r="E374" s="90" t="n"/>
      <c r="F374" s="90" t="n"/>
      <c r="G374" s="90" t="n"/>
      <c r="H374" s="91" t="n"/>
      <c r="I374" s="90" t="n"/>
      <c r="J374" s="90" t="n"/>
      <c r="K374" s="90" t="n"/>
    </row>
    <row r="375" ht="18" customHeight="1" s="62">
      <c r="A375" s="6" t="inlineStr">
        <is>
          <t>FERIEN</t>
        </is>
      </c>
      <c r="B375" s="6" t="inlineStr">
        <is>
          <t>2026-07-20</t>
        </is>
      </c>
      <c r="C375" s="6" t="inlineStr">
        <is>
          <t>FERIEN</t>
        </is>
      </c>
      <c r="D375" s="88" t="inlineStr">
        <is>
          <t>20.07.2026 – 01.09.2026</t>
        </is>
      </c>
      <c r="E375" s="88" t="n"/>
      <c r="F375" s="88" t="n"/>
      <c r="G375" s="88" t="n"/>
      <c r="H375" s="89" t="inlineStr">
        <is>
          <t>Sommerferien</t>
        </is>
      </c>
      <c r="I375" s="88" t="inlineStr">
        <is>
          <t>Feiertage/Ferien</t>
        </is>
      </c>
      <c r="J375" s="88" t="n"/>
      <c r="K375" s="88" t="n"/>
    </row>
  </sheetData>
  <dataValidations count="8">
    <dataValidation sqref="E3 E4 E5 E6 E7 E8 E9 E10 E12 E13 E14 E15 E16 E17 E18 E19 E21 E22 E23 E24 E25 E26 E27 E28 E30 E31 E32 E33 E34 E35 E36 E37 E39 E40 E41 E42 E43 E44 E45 E46 E48 E49 E50 E51 E52 E53 E54 E55 E57 E58 E59 E60 E61 E62 E63 E64 E66 E67 E68 E69 E70 E71 E72 E73 E76 E77 E78 E79 E80 E81 E82 E83 E85 E86 E87 E88 E89 E90 E91 E92 E94 E95 E96 E97 E98 E99 E100 E101 E103 E104 E105 E106 E107 E108 E109 E110 E112 E113 E114 E115 E116 E117 E118 E119 E121 E122 E123 E124 E125 E126 E127 E128 E130 E131 E132 E133 E134 E135 E136 E137 E139 E140 E141 E142 E143 E144 E145 E146 E149 E150 E151 E152 E153 E154 E155 E156 E158 E159 E160 E161 E162 E163 E164 E165 E167 E168 E169 E170 E171 E172 E173 E174 E176 E177 E178 E179 E180 E181 E182 E183 E185 E186 E187 E188 E189 E190 E191 E192 E194 E195 E196 E197 E198 E199 E200 E201 E203 E204 E205 E206 E207 E208 E209 E210 E212 E213 E214 E215 E216 E217 E218 E219 E221 E222 E223 E224 E225 E226 E227 E228 E230 E231 E232 E233 E234 E235 E236 E237 E239 E240 E241 E242 E243 E244 E245 E246 E248 E249 E250 E251 E252 E253 E254 E255 E258 E259 E260 E261 E262 E263 E264 E265 E267 E268 E269 E270 E271 E272 E273 E274 E276 E277 E278 E279 E280 E281 E282 E283 E285 E286 E287 E288 E289 E290 E291 E292 E294 E295 E296 E297 E298 E299 E300 E301 E303 E304 E305 E306 E307 E308 E309 E310 E313 E314 E315 E316 E317 E318 E319 E320 E322 E323 E324 E325 E326 E327 E328 E329 E331 E332 E333 E334 E335 E336 E337 E338 E340 E341 E342 E343 E344 E345 E346 E347 E349 E350 E351 E352 E353 E354 E355 E356 E358 E359 E360 E361 E362 E363 E364 E365 E367 E368 E369 E370 E371 E372 E373 E374" showDropDown="0" showInputMessage="0" showErrorMessage="1" allowBlank="0" errorTitle="Ungültiger Wochentag" error="Bitte einen Wochentag aus der Liste wählen." type="list">
      <formula1>"Mo,Di,Mi,Do,Fr,Ganze Woche"</formula1>
    </dataValidation>
    <dataValidation sqref="I3 I4 I5 I6 I7 I8 I9 I10 I12 I13 I14 I15 I16 I17 I18 I19 I21 I22 I23 I24 I25 I26 I27 I28 I30 I31 I32 I33 I34 I35 I36 I37 I39 I40 I41 I42 I43 I44 I45 I46 I48 I49 I50 I51 I52 I53 I54 I55 I57 I58 I59 I60 I61 I62 I63 I64 I66 I67 I68 I69 I70 I71 I72 I73 I76 I77 I78 I79 I80 I81 I82 I83 I85 I86 I87 I88 I89 I90 I91 I92 I94 I95 I96 I97 I98 I99 I100 I101 I103 I104 I105 I106 I107 I108 I109 I110 I112 I113 I114 I115 I116 I117 I118 I119 I121 I122 I123 I124 I125 I126 I127 I128 I130 I131 I132 I133 I134 I135 I136 I137 I139 I140 I141 I142 I143 I144 I145 I146 I149 I150 I151 I152 I153 I154 I155 I156 I158 I159 I160 I161 I162 I163 I164 I165 I167 I168 I169 I170 I171 I172 I173 I174 I176 I177 I178 I179 I180 I181 I182 I183 I185 I186 I187 I188 I189 I190 I191 I192 I194 I195 I196 I197 I198 I199 I200 I201 I203 I204 I205 I206 I207 I208 I209 I210 I212 I213 I214 I215 I216 I217 I218 I219 I221 I222 I223 I224 I225 I226 I227 I228 I230 I231 I232 I233 I234 I235 I236 I237 I239 I240 I241 I242 I243 I244 I245 I246 I248 I249 I250 I251 I252 I253 I254 I255 I258 I259 I260 I261 I262 I263 I264 I265 I267 I268 I269 I270 I271 I272 I273 I274 I276 I277 I278 I279 I280 I281 I282 I283 I285 I286 I287 I288 I289 I290 I291 I292 I294 I295 I296 I297 I298 I299 I300 I301 I303 I304 I305 I306 I307 I308 I309 I310 I313 I314 I315 I316 I317 I318 I319 I320 I322 I323 I324 I325 I326 I327 I328 I329 I331 I332 I333 I334 I335 I336 I337 I338 I340 I341 I342 I343 I344 I345 I346 I347 I349 I350 I351 I352 I353 I354 I355 I356 I358 I359 I360 I361 I362 I363 I364 I365 I367 I368 I369 I370 I371 I372 I373 I374" showDropDown="0" showInputMessage="0" showErrorMessage="1" allowBlank="0" errorTitle="Ungültige Kategorie" error="Bitte eine Kategorie aus der Liste wählen." type="list">
      <formula1>"Jahrgang 5/6,Jahrgang 7/8,Jahrgang 9/10,Oberstufe,Inklusion,Feiertage/Ferien,Konferenzen/DB"</formula1>
    </dataValidation>
    <dataValidation sqref="E2:E375" showDropDown="0" showInputMessage="0" showErrorMessage="1" allowBlank="1" errorTitle="Ungueltige Eingabe" error="Bitte Wochentag aus Dropdown waehlen." type="list">
      <formula1>"Mo,Di,Mi,Do,Fr,Ganze Woche"</formula1>
    </dataValidation>
    <dataValidation sqref="J2:J375" showDropDown="0" showInputMessage="0" showErrorMessage="0" allowBlank="1" type="list">
      <formula1>"Ja,Nein"</formula1>
    </dataValidation>
    <dataValidation sqref="I2:I375" showDropDown="0" showInputMessage="0" showErrorMessage="0" allowBlank="1" type="list">
      <formula1>KategorienListe</formula1>
    </dataValidation>
    <dataValidation sqref="E2:E375" showDropDown="0" showInputMessage="0" showErrorMessage="1" allowBlank="1" errorTitle="Ungueltige Eingabe" error="Bitte Wochentag aus Dropdown waehlen." type="list">
      <formula1>"Mo,Di,Mi,Do,Fr,Ganze Woche"</formula1>
    </dataValidation>
    <dataValidation sqref="J2:J375" showDropDown="0" showInputMessage="0" showErrorMessage="0" allowBlank="1" type="list">
      <formula1>"Ja,Nein"</formula1>
    </dataValidation>
    <dataValidation sqref="I2:I375" showDropDown="0" showInputMessage="0" showErrorMessage="0" allowBlank="1" type="list">
      <formula1>KategorienListe</formula1>
    </dataValidation>
  </dataValidation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F55"/>
  <sheetViews>
    <sheetView workbookViewId="0">
      <selection activeCell="A1" sqref="A1:D1"/>
    </sheetView>
  </sheetViews>
  <sheetFormatPr baseColWidth="10" defaultColWidth="8.7265625" defaultRowHeight="14.5"/>
  <cols>
    <col width="26" customWidth="1" style="62" min="1" max="1"/>
    <col width="16" bestFit="1" customWidth="1" style="62" min="2" max="2"/>
    <col width="16" customWidth="1" style="62" min="3" max="3"/>
    <col width="30" customWidth="1" style="62" min="4" max="4"/>
    <col width="9.90625" bestFit="1" customWidth="1" style="62" min="6" max="6"/>
  </cols>
  <sheetData>
    <row r="1" ht="20" customHeight="1" s="62">
      <c r="A1" s="65">
        <f>IFERROR("Schuljahr "&amp;TEXT(YEAR($B$10),"0")&amp;"/"&amp;TEXT(YEAR($B$10)+1-2000,"00")&amp;" – Ferienliste","Ferienliste")</f>
        <v/>
      </c>
    </row>
    <row r="2" ht="20" customHeight="1" s="62">
      <c r="A2" s="85" t="inlineStr">
        <is>
          <t>Bezeichnung</t>
        </is>
      </c>
      <c r="B2" s="85" t="inlineStr">
        <is>
          <t>Von (Datum)</t>
        </is>
      </c>
      <c r="C2" s="85" t="inlineStr">
        <is>
          <t>Bis (Datum)</t>
        </is>
      </c>
      <c r="D2" s="85" t="inlineStr">
        <is>
          <t>Anmerkung</t>
        </is>
      </c>
    </row>
    <row r="3" ht="18" customHeight="1" s="62">
      <c r="A3" s="92" t="inlineStr">
        <is>
          <t>Herbstferien</t>
        </is>
      </c>
      <c r="B3" s="93" t="n">
        <v>45943</v>
      </c>
      <c r="C3" s="93" t="n">
        <v>45954</v>
      </c>
      <c r="D3" s="7" t="n"/>
    </row>
    <row r="4" ht="18" customHeight="1" s="62">
      <c r="A4" s="94" t="inlineStr">
        <is>
          <t>Weihnachtsferien</t>
        </is>
      </c>
      <c r="B4" s="95" t="n">
        <v>46013</v>
      </c>
      <c r="C4" s="95" t="n">
        <v>46024</v>
      </c>
      <c r="D4" s="8" t="n"/>
    </row>
    <row r="5" ht="18" customHeight="1" s="62">
      <c r="A5" s="92" t="inlineStr">
        <is>
          <t>Osterferien</t>
        </is>
      </c>
      <c r="B5" s="93" t="n">
        <v>46111</v>
      </c>
      <c r="C5" s="93" t="n">
        <v>46122</v>
      </c>
      <c r="D5" s="7" t="n"/>
    </row>
    <row r="6" ht="18" customHeight="1" s="62">
      <c r="A6" s="94" t="inlineStr">
        <is>
          <t>Pfingstferien</t>
        </is>
      </c>
      <c r="B6" s="95" t="n">
        <v>46167</v>
      </c>
      <c r="C6" s="95" t="n">
        <v>46171</v>
      </c>
      <c r="D6" s="8" t="n"/>
    </row>
    <row r="7" ht="18" customHeight="1" s="62">
      <c r="A7" s="92" t="inlineStr">
        <is>
          <t>Sommerferien</t>
        </is>
      </c>
      <c r="B7" s="93" t="n">
        <v>46223</v>
      </c>
      <c r="C7" s="93" t="n">
        <v>46266</v>
      </c>
      <c r="D7" s="7" t="n"/>
    </row>
    <row r="9">
      <c r="A9" s="96" t="inlineStr">
        <is>
          <t>Schuljahres-Eckdaten (automatisch berechnet - nicht aendern)</t>
        </is>
      </c>
    </row>
    <row r="10">
      <c r="A10" s="9" t="inlineStr">
        <is>
          <t>Erster Schultag (SW 00)</t>
        </is>
      </c>
      <c r="B10" s="10" t="n">
        <v>45887</v>
      </c>
    </row>
    <row r="11">
      <c r="A11" s="9" t="inlineStr">
        <is>
          <t>Erster Unterrichtstag</t>
        </is>
      </c>
      <c r="B11" s="10" t="n">
        <v>45894</v>
      </c>
    </row>
    <row r="12">
      <c r="A12" s="9" t="inlineStr">
        <is>
          <t>Letzter Schultag (SW 40)</t>
        </is>
      </c>
      <c r="B12" s="10" t="n">
        <v>46220</v>
      </c>
    </row>
    <row r="14">
      <c r="E14" s="12" t="inlineStr">
        <is>
          <t>Berechnete Schulmontage – NICHT manuell ändern</t>
        </is>
      </c>
    </row>
    <row r="15">
      <c r="E15" t="inlineStr">
        <is>
          <t>SW 00</t>
        </is>
      </c>
      <c r="F15" s="13">
        <f>$B$10</f>
        <v/>
      </c>
    </row>
    <row r="16">
      <c r="E16" t="inlineStr">
        <is>
          <t>SW 01</t>
        </is>
      </c>
      <c r="F16" s="13">
        <f>$F$15+7+IF(ISBLANK($B$3),0,IF(($F$15+7&gt;=$B$3)*($F$15+7&lt;=$C$3),$C$3+8-WEEKDAY($C$3,2)-($F$15+7),0))+IF(ISBLANK($B$4),0,IF(($F$15+7&gt;=$B$4)*($F$15+7&lt;=$C$4),$C$4+8-WEEKDAY($C$4,2)-($F$15+7),0))+IF(ISBLANK($B$5),0,IF(($F$15+7&gt;=$B$5)*($F$15+7&lt;=$C$5),$C$5+8-WEEKDAY($C$5,2)-($F$15+7),0))+IF(ISBLANK($B$6),0,IF(($F$15+7&gt;=$B$6)*($F$15+7&lt;=$C$6),$C$6+8-WEEKDAY($C$6,2)-($F$15+7),0))</f>
        <v/>
      </c>
    </row>
    <row r="17">
      <c r="E17" t="inlineStr">
        <is>
          <t>SW 02</t>
        </is>
      </c>
      <c r="F17" s="13">
        <f>$F$16+7+IF(ISBLANK($B$3),0,IF(($F$16+7&gt;=$B$3)*($F$16+7&lt;=$C$3),$C$3+8-WEEKDAY($C$3,2)-($F$16+7),0))+IF(ISBLANK($B$4),0,IF(($F$16+7&gt;=$B$4)*($F$16+7&lt;=$C$4),$C$4+8-WEEKDAY($C$4,2)-($F$16+7),0))+IF(ISBLANK($B$5),0,IF(($F$16+7&gt;=$B$5)*($F$16+7&lt;=$C$5),$C$5+8-WEEKDAY($C$5,2)-($F$16+7),0))+IF(ISBLANK($B$6),0,IF(($F$16+7&gt;=$B$6)*($F$16+7&lt;=$C$6),$C$6+8-WEEKDAY($C$6,2)-($F$16+7),0))</f>
        <v/>
      </c>
    </row>
    <row r="18">
      <c r="E18" t="inlineStr">
        <is>
          <t>SW 03</t>
        </is>
      </c>
      <c r="F18" s="13">
        <f>$F$17+7+IF(ISBLANK($B$3),0,IF(($F$17+7&gt;=$B$3)*($F$17+7&lt;=$C$3),$C$3+8-WEEKDAY($C$3,2)-($F$17+7),0))+IF(ISBLANK($B$4),0,IF(($F$17+7&gt;=$B$4)*($F$17+7&lt;=$C$4),$C$4+8-WEEKDAY($C$4,2)-($F$17+7),0))+IF(ISBLANK($B$5),0,IF(($F$17+7&gt;=$B$5)*($F$17+7&lt;=$C$5),$C$5+8-WEEKDAY($C$5,2)-($F$17+7),0))+IF(ISBLANK($B$6),0,IF(($F$17+7&gt;=$B$6)*($F$17+7&lt;=$C$6),$C$6+8-WEEKDAY($C$6,2)-($F$17+7),0))</f>
        <v/>
      </c>
    </row>
    <row r="19">
      <c r="E19" t="inlineStr">
        <is>
          <t>SW 04</t>
        </is>
      </c>
      <c r="F19" s="13">
        <f>$F$18+7+IF(ISBLANK($B$3),0,IF(($F$18+7&gt;=$B$3)*($F$18+7&lt;=$C$3),$C$3+8-WEEKDAY($C$3,2)-($F$18+7),0))+IF(ISBLANK($B$4),0,IF(($F$18+7&gt;=$B$4)*($F$18+7&lt;=$C$4),$C$4+8-WEEKDAY($C$4,2)-($F$18+7),0))+IF(ISBLANK($B$5),0,IF(($F$18+7&gt;=$B$5)*($F$18+7&lt;=$C$5),$C$5+8-WEEKDAY($C$5,2)-($F$18+7),0))+IF(ISBLANK($B$6),0,IF(($F$18+7&gt;=$B$6)*($F$18+7&lt;=$C$6),$C$6+8-WEEKDAY($C$6,2)-($F$18+7),0))</f>
        <v/>
      </c>
    </row>
    <row r="20">
      <c r="E20" t="inlineStr">
        <is>
          <t>SW 05</t>
        </is>
      </c>
      <c r="F20" s="13">
        <f>$F$19+7+IF(ISBLANK($B$3),0,IF(($F$19+7&gt;=$B$3)*($F$19+7&lt;=$C$3),$C$3+8-WEEKDAY($C$3,2)-($F$19+7),0))+IF(ISBLANK($B$4),0,IF(($F$19+7&gt;=$B$4)*($F$19+7&lt;=$C$4),$C$4+8-WEEKDAY($C$4,2)-($F$19+7),0))+IF(ISBLANK($B$5),0,IF(($F$19+7&gt;=$B$5)*($F$19+7&lt;=$C$5),$C$5+8-WEEKDAY($C$5,2)-($F$19+7),0))+IF(ISBLANK($B$6),0,IF(($F$19+7&gt;=$B$6)*($F$19+7&lt;=$C$6),$C$6+8-WEEKDAY($C$6,2)-($F$19+7),0))</f>
        <v/>
      </c>
    </row>
    <row r="21">
      <c r="E21" t="inlineStr">
        <is>
          <t>SW 06</t>
        </is>
      </c>
      <c r="F21" s="13">
        <f>$F$20+7+IF(ISBLANK($B$3),0,IF(($F$20+7&gt;=$B$3)*($F$20+7&lt;=$C$3),$C$3+8-WEEKDAY($C$3,2)-($F$20+7),0))+IF(ISBLANK($B$4),0,IF(($F$20+7&gt;=$B$4)*($F$20+7&lt;=$C$4),$C$4+8-WEEKDAY($C$4,2)-($F$20+7),0))+IF(ISBLANK($B$5),0,IF(($F$20+7&gt;=$B$5)*($F$20+7&lt;=$C$5),$C$5+8-WEEKDAY($C$5,2)-($F$20+7),0))+IF(ISBLANK($B$6),0,IF(($F$20+7&gt;=$B$6)*($F$20+7&lt;=$C$6),$C$6+8-WEEKDAY($C$6,2)-($F$20+7),0))</f>
        <v/>
      </c>
    </row>
    <row r="22">
      <c r="E22" t="inlineStr">
        <is>
          <t>SW 07</t>
        </is>
      </c>
      <c r="F22" s="13">
        <f>$F$21+7+IF(ISBLANK($B$3),0,IF(($F$21+7&gt;=$B$3)*($F$21+7&lt;=$C$3),$C$3+8-WEEKDAY($C$3,2)-($F$21+7),0))+IF(ISBLANK($B$4),0,IF(($F$21+7&gt;=$B$4)*($F$21+7&lt;=$C$4),$C$4+8-WEEKDAY($C$4,2)-($F$21+7),0))+IF(ISBLANK($B$5),0,IF(($F$21+7&gt;=$B$5)*($F$21+7&lt;=$C$5),$C$5+8-WEEKDAY($C$5,2)-($F$21+7),0))+IF(ISBLANK($B$6),0,IF(($F$21+7&gt;=$B$6)*($F$21+7&lt;=$C$6),$C$6+8-WEEKDAY($C$6,2)-($F$21+7),0))</f>
        <v/>
      </c>
    </row>
    <row r="23">
      <c r="E23" t="inlineStr">
        <is>
          <t>SW 08</t>
        </is>
      </c>
      <c r="F23" s="13">
        <f>$F$22+7+IF(ISBLANK($B$3),0,IF(($F$22+7&gt;=$B$3)*($F$22+7&lt;=$C$3),$C$3+8-WEEKDAY($C$3,2)-($F$22+7),0))+IF(ISBLANK($B$4),0,IF(($F$22+7&gt;=$B$4)*($F$22+7&lt;=$C$4),$C$4+8-WEEKDAY($C$4,2)-($F$22+7),0))+IF(ISBLANK($B$5),0,IF(($F$22+7&gt;=$B$5)*($F$22+7&lt;=$C$5),$C$5+8-WEEKDAY($C$5,2)-($F$22+7),0))+IF(ISBLANK($B$6),0,IF(($F$22+7&gt;=$B$6)*($F$22+7&lt;=$C$6),$C$6+8-WEEKDAY($C$6,2)-($F$22+7),0))</f>
        <v/>
      </c>
    </row>
    <row r="24">
      <c r="E24" t="inlineStr">
        <is>
          <t>SW 09</t>
        </is>
      </c>
      <c r="F24" s="13">
        <f>$F$23+7+IF(ISBLANK($B$3),0,IF(($F$23+7&gt;=$B$3)*($F$23+7&lt;=$C$3),$C$3+8-WEEKDAY($C$3,2)-($F$23+7),0))+IF(ISBLANK($B$4),0,IF(($F$23+7&gt;=$B$4)*($F$23+7&lt;=$C$4),$C$4+8-WEEKDAY($C$4,2)-($F$23+7),0))+IF(ISBLANK($B$5),0,IF(($F$23+7&gt;=$B$5)*($F$23+7&lt;=$C$5),$C$5+8-WEEKDAY($C$5,2)-($F$23+7),0))+IF(ISBLANK($B$6),0,IF(($F$23+7&gt;=$B$6)*($F$23+7&lt;=$C$6),$C$6+8-WEEKDAY($C$6,2)-($F$23+7),0))</f>
        <v/>
      </c>
    </row>
    <row r="25">
      <c r="E25" t="inlineStr">
        <is>
          <t>SW 10</t>
        </is>
      </c>
      <c r="F25" s="13">
        <f>$F$24+7+IF(ISBLANK($B$3),0,IF(($F$24+7&gt;=$B$3)*($F$24+7&lt;=$C$3),$C$3+8-WEEKDAY($C$3,2)-($F$24+7),0))+IF(ISBLANK($B$4),0,IF(($F$24+7&gt;=$B$4)*($F$24+7&lt;=$C$4),$C$4+8-WEEKDAY($C$4,2)-($F$24+7),0))+IF(ISBLANK($B$5),0,IF(($F$24+7&gt;=$B$5)*($F$24+7&lt;=$C$5),$C$5+8-WEEKDAY($C$5,2)-($F$24+7),0))+IF(ISBLANK($B$6),0,IF(($F$24+7&gt;=$B$6)*($F$24+7&lt;=$C$6),$C$6+8-WEEKDAY($C$6,2)-($F$24+7),0))</f>
        <v/>
      </c>
    </row>
    <row r="26">
      <c r="E26" t="inlineStr">
        <is>
          <t>SW 11</t>
        </is>
      </c>
      <c r="F26" s="13">
        <f>$F$25+7+IF(ISBLANK($B$3),0,IF(($F$25+7&gt;=$B$3)*($F$25+7&lt;=$C$3),$C$3+8-WEEKDAY($C$3,2)-($F$25+7),0))+IF(ISBLANK($B$4),0,IF(($F$25+7&gt;=$B$4)*($F$25+7&lt;=$C$4),$C$4+8-WEEKDAY($C$4,2)-($F$25+7),0))+IF(ISBLANK($B$5),0,IF(($F$25+7&gt;=$B$5)*($F$25+7&lt;=$C$5),$C$5+8-WEEKDAY($C$5,2)-($F$25+7),0))+IF(ISBLANK($B$6),0,IF(($F$25+7&gt;=$B$6)*($F$25+7&lt;=$C$6),$C$6+8-WEEKDAY($C$6,2)-($F$25+7),0))</f>
        <v/>
      </c>
    </row>
    <row r="27">
      <c r="E27" t="inlineStr">
        <is>
          <t>SW 12</t>
        </is>
      </c>
      <c r="F27" s="13">
        <f>$F$26+7+IF(ISBLANK($B$3),0,IF(($F$26+7&gt;=$B$3)*($F$26+7&lt;=$C$3),$C$3+8-WEEKDAY($C$3,2)-($F$26+7),0))+IF(ISBLANK($B$4),0,IF(($F$26+7&gt;=$B$4)*($F$26+7&lt;=$C$4),$C$4+8-WEEKDAY($C$4,2)-($F$26+7),0))+IF(ISBLANK($B$5),0,IF(($F$26+7&gt;=$B$5)*($F$26+7&lt;=$C$5),$C$5+8-WEEKDAY($C$5,2)-($F$26+7),0))+IF(ISBLANK($B$6),0,IF(($F$26+7&gt;=$B$6)*($F$26+7&lt;=$C$6),$C$6+8-WEEKDAY($C$6,2)-($F$26+7),0))</f>
        <v/>
      </c>
    </row>
    <row r="28">
      <c r="E28" t="inlineStr">
        <is>
          <t>SW 13</t>
        </is>
      </c>
      <c r="F28" s="13">
        <f>$F$27+7+IF(ISBLANK($B$3),0,IF(($F$27+7&gt;=$B$3)*($F$27+7&lt;=$C$3),$C$3+8-WEEKDAY($C$3,2)-($F$27+7),0))+IF(ISBLANK($B$4),0,IF(($F$27+7&gt;=$B$4)*($F$27+7&lt;=$C$4),$C$4+8-WEEKDAY($C$4,2)-($F$27+7),0))+IF(ISBLANK($B$5),0,IF(($F$27+7&gt;=$B$5)*($F$27+7&lt;=$C$5),$C$5+8-WEEKDAY($C$5,2)-($F$27+7),0))+IF(ISBLANK($B$6),0,IF(($F$27+7&gt;=$B$6)*($F$27+7&lt;=$C$6),$C$6+8-WEEKDAY($C$6,2)-($F$27+7),0))</f>
        <v/>
      </c>
    </row>
    <row r="29">
      <c r="E29" t="inlineStr">
        <is>
          <t>SW 14</t>
        </is>
      </c>
      <c r="F29" s="13">
        <f>$F$28+7+IF(ISBLANK($B$3),0,IF(($F$28+7&gt;=$B$3)*($F$28+7&lt;=$C$3),$C$3+8-WEEKDAY($C$3,2)-($F$28+7),0))+IF(ISBLANK($B$4),0,IF(($F$28+7&gt;=$B$4)*($F$28+7&lt;=$C$4),$C$4+8-WEEKDAY($C$4,2)-($F$28+7),0))+IF(ISBLANK($B$5),0,IF(($F$28+7&gt;=$B$5)*($F$28+7&lt;=$C$5),$C$5+8-WEEKDAY($C$5,2)-($F$28+7),0))+IF(ISBLANK($B$6),0,IF(($F$28+7&gt;=$B$6)*($F$28+7&lt;=$C$6),$C$6+8-WEEKDAY($C$6,2)-($F$28+7),0))</f>
        <v/>
      </c>
    </row>
    <row r="30">
      <c r="E30" t="inlineStr">
        <is>
          <t>SW 15</t>
        </is>
      </c>
      <c r="F30" s="13">
        <f>$F$29+7+IF(ISBLANK($B$3),0,IF(($F$29+7&gt;=$B$3)*($F$29+7&lt;=$C$3),$C$3+8-WEEKDAY($C$3,2)-($F$29+7),0))+IF(ISBLANK($B$4),0,IF(($F$29+7&gt;=$B$4)*($F$29+7&lt;=$C$4),$C$4+8-WEEKDAY($C$4,2)-($F$29+7),0))+IF(ISBLANK($B$5),0,IF(($F$29+7&gt;=$B$5)*($F$29+7&lt;=$C$5),$C$5+8-WEEKDAY($C$5,2)-($F$29+7),0))+IF(ISBLANK($B$6),0,IF(($F$29+7&gt;=$B$6)*($F$29+7&lt;=$C$6),$C$6+8-WEEKDAY($C$6,2)-($F$29+7),0))</f>
        <v/>
      </c>
    </row>
    <row r="31">
      <c r="E31" t="inlineStr">
        <is>
          <t>SW 16</t>
        </is>
      </c>
      <c r="F31" s="13">
        <f>$F$30+7+IF(ISBLANK($B$3),0,IF(($F$30+7&gt;=$B$3)*($F$30+7&lt;=$C$3),$C$3+8-WEEKDAY($C$3,2)-($F$30+7),0))+IF(ISBLANK($B$4),0,IF(($F$30+7&gt;=$B$4)*($F$30+7&lt;=$C$4),$C$4+8-WEEKDAY($C$4,2)-($F$30+7),0))+IF(ISBLANK($B$5),0,IF(($F$30+7&gt;=$B$5)*($F$30+7&lt;=$C$5),$C$5+8-WEEKDAY($C$5,2)-($F$30+7),0))+IF(ISBLANK($B$6),0,IF(($F$30+7&gt;=$B$6)*($F$30+7&lt;=$C$6),$C$6+8-WEEKDAY($C$6,2)-($F$30+7),0))</f>
        <v/>
      </c>
    </row>
    <row r="32">
      <c r="E32" t="inlineStr">
        <is>
          <t>SW 17</t>
        </is>
      </c>
      <c r="F32" s="13">
        <f>$F$31+7+IF(ISBLANK($B$3),0,IF(($F$31+7&gt;=$B$3)*($F$31+7&lt;=$C$3),$C$3+8-WEEKDAY($C$3,2)-($F$31+7),0))+IF(ISBLANK($B$4),0,IF(($F$31+7&gt;=$B$4)*($F$31+7&lt;=$C$4),$C$4+8-WEEKDAY($C$4,2)-($F$31+7),0))+IF(ISBLANK($B$5),0,IF(($F$31+7&gt;=$B$5)*($F$31+7&lt;=$C$5),$C$5+8-WEEKDAY($C$5,2)-($F$31+7),0))+IF(ISBLANK($B$6),0,IF(($F$31+7&gt;=$B$6)*($F$31+7&lt;=$C$6),$C$6+8-WEEKDAY($C$6,2)-($F$31+7),0))</f>
        <v/>
      </c>
    </row>
    <row r="33">
      <c r="E33" t="inlineStr">
        <is>
          <t>SW 18</t>
        </is>
      </c>
      <c r="F33" s="13">
        <f>$F$32+7+IF(ISBLANK($B$3),0,IF(($F$32+7&gt;=$B$3)*($F$32+7&lt;=$C$3),$C$3+8-WEEKDAY($C$3,2)-($F$32+7),0))+IF(ISBLANK($B$4),0,IF(($F$32+7&gt;=$B$4)*($F$32+7&lt;=$C$4),$C$4+8-WEEKDAY($C$4,2)-($F$32+7),0))+IF(ISBLANK($B$5),0,IF(($F$32+7&gt;=$B$5)*($F$32+7&lt;=$C$5),$C$5+8-WEEKDAY($C$5,2)-($F$32+7),0))+IF(ISBLANK($B$6),0,IF(($F$32+7&gt;=$B$6)*($F$32+7&lt;=$C$6),$C$6+8-WEEKDAY($C$6,2)-($F$32+7),0))</f>
        <v/>
      </c>
    </row>
    <row r="34">
      <c r="E34" t="inlineStr">
        <is>
          <t>SW 19</t>
        </is>
      </c>
      <c r="F34" s="13">
        <f>$F$33+7+IF(ISBLANK($B$3),0,IF(($F$33+7&gt;=$B$3)*($F$33+7&lt;=$C$3),$C$3+8-WEEKDAY($C$3,2)-($F$33+7),0))+IF(ISBLANK($B$4),0,IF(($F$33+7&gt;=$B$4)*($F$33+7&lt;=$C$4),$C$4+8-WEEKDAY($C$4,2)-($F$33+7),0))+IF(ISBLANK($B$5),0,IF(($F$33+7&gt;=$B$5)*($F$33+7&lt;=$C$5),$C$5+8-WEEKDAY($C$5,2)-($F$33+7),0))+IF(ISBLANK($B$6),0,IF(($F$33+7&gt;=$B$6)*($F$33+7&lt;=$C$6),$C$6+8-WEEKDAY($C$6,2)-($F$33+7),0))</f>
        <v/>
      </c>
    </row>
    <row r="35">
      <c r="E35" t="inlineStr">
        <is>
          <t>SW 20</t>
        </is>
      </c>
      <c r="F35" s="13">
        <f>$F$34+7+IF(ISBLANK($B$3),0,IF(($F$34+7&gt;=$B$3)*($F$34+7&lt;=$C$3),$C$3+8-WEEKDAY($C$3,2)-($F$34+7),0))+IF(ISBLANK($B$4),0,IF(($F$34+7&gt;=$B$4)*($F$34+7&lt;=$C$4),$C$4+8-WEEKDAY($C$4,2)-($F$34+7),0))+IF(ISBLANK($B$5),0,IF(($F$34+7&gt;=$B$5)*($F$34+7&lt;=$C$5),$C$5+8-WEEKDAY($C$5,2)-($F$34+7),0))+IF(ISBLANK($B$6),0,IF(($F$34+7&gt;=$B$6)*($F$34+7&lt;=$C$6),$C$6+8-WEEKDAY($C$6,2)-($F$34+7),0))</f>
        <v/>
      </c>
    </row>
    <row r="36">
      <c r="E36" t="inlineStr">
        <is>
          <t>SW 21</t>
        </is>
      </c>
      <c r="F36" s="13">
        <f>$F$35+7+IF(ISBLANK($B$3),0,IF(($F$35+7&gt;=$B$3)*($F$35+7&lt;=$C$3),$C$3+8-WEEKDAY($C$3,2)-($F$35+7),0))+IF(ISBLANK($B$4),0,IF(($F$35+7&gt;=$B$4)*($F$35+7&lt;=$C$4),$C$4+8-WEEKDAY($C$4,2)-($F$35+7),0))+IF(ISBLANK($B$5),0,IF(($F$35+7&gt;=$B$5)*($F$35+7&lt;=$C$5),$C$5+8-WEEKDAY($C$5,2)-($F$35+7),0))+IF(ISBLANK($B$6),0,IF(($F$35+7&gt;=$B$6)*($F$35+7&lt;=$C$6),$C$6+8-WEEKDAY($C$6,2)-($F$35+7),0))</f>
        <v/>
      </c>
    </row>
    <row r="37">
      <c r="E37" t="inlineStr">
        <is>
          <t>SW 22</t>
        </is>
      </c>
      <c r="F37" s="13">
        <f>$F$36+7+IF(ISBLANK($B$3),0,IF(($F$36+7&gt;=$B$3)*($F$36+7&lt;=$C$3),$C$3+8-WEEKDAY($C$3,2)-($F$36+7),0))+IF(ISBLANK($B$4),0,IF(($F$36+7&gt;=$B$4)*($F$36+7&lt;=$C$4),$C$4+8-WEEKDAY($C$4,2)-($F$36+7),0))+IF(ISBLANK($B$5),0,IF(($F$36+7&gt;=$B$5)*($F$36+7&lt;=$C$5),$C$5+8-WEEKDAY($C$5,2)-($F$36+7),0))+IF(ISBLANK($B$6),0,IF(($F$36+7&gt;=$B$6)*($F$36+7&lt;=$C$6),$C$6+8-WEEKDAY($C$6,2)-($F$36+7),0))</f>
        <v/>
      </c>
    </row>
    <row r="38">
      <c r="E38" t="inlineStr">
        <is>
          <t>SW 23</t>
        </is>
      </c>
      <c r="F38" s="13">
        <f>$F$37+7+IF(ISBLANK($B$3),0,IF(($F$37+7&gt;=$B$3)*($F$37+7&lt;=$C$3),$C$3+8-WEEKDAY($C$3,2)-($F$37+7),0))+IF(ISBLANK($B$4),0,IF(($F$37+7&gt;=$B$4)*($F$37+7&lt;=$C$4),$C$4+8-WEEKDAY($C$4,2)-($F$37+7),0))+IF(ISBLANK($B$5),0,IF(($F$37+7&gt;=$B$5)*($F$37+7&lt;=$C$5),$C$5+8-WEEKDAY($C$5,2)-($F$37+7),0))+IF(ISBLANK($B$6),0,IF(($F$37+7&gt;=$B$6)*($F$37+7&lt;=$C$6),$C$6+8-WEEKDAY($C$6,2)-($F$37+7),0))</f>
        <v/>
      </c>
    </row>
    <row r="39">
      <c r="E39" t="inlineStr">
        <is>
          <t>SW 24</t>
        </is>
      </c>
      <c r="F39" s="13">
        <f>$F$38+7+IF(ISBLANK($B$3),0,IF(($F$38+7&gt;=$B$3)*($F$38+7&lt;=$C$3),$C$3+8-WEEKDAY($C$3,2)-($F$38+7),0))+IF(ISBLANK($B$4),0,IF(($F$38+7&gt;=$B$4)*($F$38+7&lt;=$C$4),$C$4+8-WEEKDAY($C$4,2)-($F$38+7),0))+IF(ISBLANK($B$5),0,IF(($F$38+7&gt;=$B$5)*($F$38+7&lt;=$C$5),$C$5+8-WEEKDAY($C$5,2)-($F$38+7),0))+IF(ISBLANK($B$6),0,IF(($F$38+7&gt;=$B$6)*($F$38+7&lt;=$C$6),$C$6+8-WEEKDAY($C$6,2)-($F$38+7),0))</f>
        <v/>
      </c>
    </row>
    <row r="40">
      <c r="E40" t="inlineStr">
        <is>
          <t>SW 25</t>
        </is>
      </c>
      <c r="F40" s="13">
        <f>$F$39+7+IF(ISBLANK($B$3),0,IF(($F$39+7&gt;=$B$3)*($F$39+7&lt;=$C$3),$C$3+8-WEEKDAY($C$3,2)-($F$39+7),0))+IF(ISBLANK($B$4),0,IF(($F$39+7&gt;=$B$4)*($F$39+7&lt;=$C$4),$C$4+8-WEEKDAY($C$4,2)-($F$39+7),0))+IF(ISBLANK($B$5),0,IF(($F$39+7&gt;=$B$5)*($F$39+7&lt;=$C$5),$C$5+8-WEEKDAY($C$5,2)-($F$39+7),0))+IF(ISBLANK($B$6),0,IF(($F$39+7&gt;=$B$6)*($F$39+7&lt;=$C$6),$C$6+8-WEEKDAY($C$6,2)-($F$39+7),0))</f>
        <v/>
      </c>
    </row>
    <row r="41">
      <c r="E41" t="inlineStr">
        <is>
          <t>SW 26</t>
        </is>
      </c>
      <c r="F41" s="13">
        <f>$F$40+7+IF(ISBLANK($B$3),0,IF(($F$40+7&gt;=$B$3)*($F$40+7&lt;=$C$3),$C$3+8-WEEKDAY($C$3,2)-($F$40+7),0))+IF(ISBLANK($B$4),0,IF(($F$40+7&gt;=$B$4)*($F$40+7&lt;=$C$4),$C$4+8-WEEKDAY($C$4,2)-($F$40+7),0))+IF(ISBLANK($B$5),0,IF(($F$40+7&gt;=$B$5)*($F$40+7&lt;=$C$5),$C$5+8-WEEKDAY($C$5,2)-($F$40+7),0))+IF(ISBLANK($B$6),0,IF(($F$40+7&gt;=$B$6)*($F$40+7&lt;=$C$6),$C$6+8-WEEKDAY($C$6,2)-($F$40+7),0))</f>
        <v/>
      </c>
    </row>
    <row r="42">
      <c r="E42" t="inlineStr">
        <is>
          <t>SW 27</t>
        </is>
      </c>
      <c r="F42" s="13">
        <f>$F$41+7+IF(ISBLANK($B$3),0,IF(($F$41+7&gt;=$B$3)*($F$41+7&lt;=$C$3),$C$3+8-WEEKDAY($C$3,2)-($F$41+7),0))+IF(ISBLANK($B$4),0,IF(($F$41+7&gt;=$B$4)*($F$41+7&lt;=$C$4),$C$4+8-WEEKDAY($C$4,2)-($F$41+7),0))+IF(ISBLANK($B$5),0,IF(($F$41+7&gt;=$B$5)*($F$41+7&lt;=$C$5),$C$5+8-WEEKDAY($C$5,2)-($F$41+7),0))+IF(ISBLANK($B$6),0,IF(($F$41+7&gt;=$B$6)*($F$41+7&lt;=$C$6),$C$6+8-WEEKDAY($C$6,2)-($F$41+7),0))</f>
        <v/>
      </c>
    </row>
    <row r="43">
      <c r="E43" t="inlineStr">
        <is>
          <t>SW 28</t>
        </is>
      </c>
      <c r="F43" s="13">
        <f>$F$42+7+IF(ISBLANK($B$3),0,IF(($F$42+7&gt;=$B$3)*($F$42+7&lt;=$C$3),$C$3+8-WEEKDAY($C$3,2)-($F$42+7),0))+IF(ISBLANK($B$4),0,IF(($F$42+7&gt;=$B$4)*($F$42+7&lt;=$C$4),$C$4+8-WEEKDAY($C$4,2)-($F$42+7),0))+IF(ISBLANK($B$5),0,IF(($F$42+7&gt;=$B$5)*($F$42+7&lt;=$C$5),$C$5+8-WEEKDAY($C$5,2)-($F$42+7),0))+IF(ISBLANK($B$6),0,IF(($F$42+7&gt;=$B$6)*($F$42+7&lt;=$C$6),$C$6+8-WEEKDAY($C$6,2)-($F$42+7),0))</f>
        <v/>
      </c>
    </row>
    <row r="44">
      <c r="E44" t="inlineStr">
        <is>
          <t>SW 29</t>
        </is>
      </c>
      <c r="F44" s="13">
        <f>$F$43+7+IF(ISBLANK($B$3),0,IF(($F$43+7&gt;=$B$3)*($F$43+7&lt;=$C$3),$C$3+8-WEEKDAY($C$3,2)-($F$43+7),0))+IF(ISBLANK($B$4),0,IF(($F$43+7&gt;=$B$4)*($F$43+7&lt;=$C$4),$C$4+8-WEEKDAY($C$4,2)-($F$43+7),0))+IF(ISBLANK($B$5),0,IF(($F$43+7&gt;=$B$5)*($F$43+7&lt;=$C$5),$C$5+8-WEEKDAY($C$5,2)-($F$43+7),0))+IF(ISBLANK($B$6),0,IF(($F$43+7&gt;=$B$6)*($F$43+7&lt;=$C$6),$C$6+8-WEEKDAY($C$6,2)-($F$43+7),0))</f>
        <v/>
      </c>
    </row>
    <row r="45">
      <c r="E45" t="inlineStr">
        <is>
          <t>SW 30</t>
        </is>
      </c>
      <c r="F45" s="13">
        <f>$F$44+7+IF(ISBLANK($B$3),0,IF(($F$44+7&gt;=$B$3)*($F$44+7&lt;=$C$3),$C$3+8-WEEKDAY($C$3,2)-($F$44+7),0))+IF(ISBLANK($B$4),0,IF(($F$44+7&gt;=$B$4)*($F$44+7&lt;=$C$4),$C$4+8-WEEKDAY($C$4,2)-($F$44+7),0))+IF(ISBLANK($B$5),0,IF(($F$44+7&gt;=$B$5)*($F$44+7&lt;=$C$5),$C$5+8-WEEKDAY($C$5,2)-($F$44+7),0))+IF(ISBLANK($B$6),0,IF(($F$44+7&gt;=$B$6)*($F$44+7&lt;=$C$6),$C$6+8-WEEKDAY($C$6,2)-($F$44+7),0))</f>
        <v/>
      </c>
    </row>
    <row r="46">
      <c r="E46" t="inlineStr">
        <is>
          <t>SW 31</t>
        </is>
      </c>
      <c r="F46" s="13">
        <f>$F$45+7+IF(ISBLANK($B$3),0,IF(($F$45+7&gt;=$B$3)*($F$45+7&lt;=$C$3),$C$3+8-WEEKDAY($C$3,2)-($F$45+7),0))+IF(ISBLANK($B$4),0,IF(($F$45+7&gt;=$B$4)*($F$45+7&lt;=$C$4),$C$4+8-WEEKDAY($C$4,2)-($F$45+7),0))+IF(ISBLANK($B$5),0,IF(($F$45+7&gt;=$B$5)*($F$45+7&lt;=$C$5),$C$5+8-WEEKDAY($C$5,2)-($F$45+7),0))+IF(ISBLANK($B$6),0,IF(($F$45+7&gt;=$B$6)*($F$45+7&lt;=$C$6),$C$6+8-WEEKDAY($C$6,2)-($F$45+7),0))</f>
        <v/>
      </c>
    </row>
    <row r="47">
      <c r="E47" t="inlineStr">
        <is>
          <t>SW 32</t>
        </is>
      </c>
      <c r="F47" s="13">
        <f>$F$46+7+IF(ISBLANK($B$3),0,IF(($F$46+7&gt;=$B$3)*($F$46+7&lt;=$C$3),$C$3+8-WEEKDAY($C$3,2)-($F$46+7),0))+IF(ISBLANK($B$4),0,IF(($F$46+7&gt;=$B$4)*($F$46+7&lt;=$C$4),$C$4+8-WEEKDAY($C$4,2)-($F$46+7),0))+IF(ISBLANK($B$5),0,IF(($F$46+7&gt;=$B$5)*($F$46+7&lt;=$C$5),$C$5+8-WEEKDAY($C$5,2)-($F$46+7),0))+IF(ISBLANK($B$6),0,IF(($F$46+7&gt;=$B$6)*($F$46+7&lt;=$C$6),$C$6+8-WEEKDAY($C$6,2)-($F$46+7),0))</f>
        <v/>
      </c>
    </row>
    <row r="48">
      <c r="E48" t="inlineStr">
        <is>
          <t>SW 33</t>
        </is>
      </c>
      <c r="F48" s="13">
        <f>$F$47+7+IF(ISBLANK($B$3),0,IF(($F$47+7&gt;=$B$3)*($F$47+7&lt;=$C$3),$C$3+8-WEEKDAY($C$3,2)-($F$47+7),0))+IF(ISBLANK($B$4),0,IF(($F$47+7&gt;=$B$4)*($F$47+7&lt;=$C$4),$C$4+8-WEEKDAY($C$4,2)-($F$47+7),0))+IF(ISBLANK($B$5),0,IF(($F$47+7&gt;=$B$5)*($F$47+7&lt;=$C$5),$C$5+8-WEEKDAY($C$5,2)-($F$47+7),0))+IF(ISBLANK($B$6),0,IF(($F$47+7&gt;=$B$6)*($F$47+7&lt;=$C$6),$C$6+8-WEEKDAY($C$6,2)-($F$47+7),0))</f>
        <v/>
      </c>
    </row>
    <row r="49">
      <c r="E49" t="inlineStr">
        <is>
          <t>SW 34</t>
        </is>
      </c>
      <c r="F49" s="13">
        <f>$F$48+7+IF(ISBLANK($B$3),0,IF(($F$48+7&gt;=$B$3)*($F$48+7&lt;=$C$3),$C$3+8-WEEKDAY($C$3,2)-($F$48+7),0))+IF(ISBLANK($B$4),0,IF(($F$48+7&gt;=$B$4)*($F$48+7&lt;=$C$4),$C$4+8-WEEKDAY($C$4,2)-($F$48+7),0))+IF(ISBLANK($B$5),0,IF(($F$48+7&gt;=$B$5)*($F$48+7&lt;=$C$5),$C$5+8-WEEKDAY($C$5,2)-($F$48+7),0))+IF(ISBLANK($B$6),0,IF(($F$48+7&gt;=$B$6)*($F$48+7&lt;=$C$6),$C$6+8-WEEKDAY($C$6,2)-($F$48+7),0))</f>
        <v/>
      </c>
    </row>
    <row r="50">
      <c r="E50" t="inlineStr">
        <is>
          <t>SW 35</t>
        </is>
      </c>
      <c r="F50" s="13">
        <f>$F$49+7+IF(ISBLANK($B$3),0,IF(($F$49+7&gt;=$B$3)*($F$49+7&lt;=$C$3),$C$3+8-WEEKDAY($C$3,2)-($F$49+7),0))+IF(ISBLANK($B$4),0,IF(($F$49+7&gt;=$B$4)*($F$49+7&lt;=$C$4),$C$4+8-WEEKDAY($C$4,2)-($F$49+7),0))+IF(ISBLANK($B$5),0,IF(($F$49+7&gt;=$B$5)*($F$49+7&lt;=$C$5),$C$5+8-WEEKDAY($C$5,2)-($F$49+7),0))+IF(ISBLANK($B$6),0,IF(($F$49+7&gt;=$B$6)*($F$49+7&lt;=$C$6),$C$6+8-WEEKDAY($C$6,2)-($F$49+7),0))</f>
        <v/>
      </c>
    </row>
    <row r="51">
      <c r="E51" t="inlineStr">
        <is>
          <t>SW 36</t>
        </is>
      </c>
      <c r="F51" s="13">
        <f>$F$50+7+IF(ISBLANK($B$3),0,IF(($F$50+7&gt;=$B$3)*($F$50+7&lt;=$C$3),$C$3+8-WEEKDAY($C$3,2)-($F$50+7),0))+IF(ISBLANK($B$4),0,IF(($F$50+7&gt;=$B$4)*($F$50+7&lt;=$C$4),$C$4+8-WEEKDAY($C$4,2)-($F$50+7),0))+IF(ISBLANK($B$5),0,IF(($F$50+7&gt;=$B$5)*($F$50+7&lt;=$C$5),$C$5+8-WEEKDAY($C$5,2)-($F$50+7),0))+IF(ISBLANK($B$6),0,IF(($F$50+7&gt;=$B$6)*($F$50+7&lt;=$C$6),$C$6+8-WEEKDAY($C$6,2)-($F$50+7),0))</f>
        <v/>
      </c>
    </row>
    <row r="52">
      <c r="E52" t="inlineStr">
        <is>
          <t>SW 37</t>
        </is>
      </c>
      <c r="F52" s="13">
        <f>$F$51+7+IF(ISBLANK($B$3),0,IF(($F$51+7&gt;=$B$3)*($F$51+7&lt;=$C$3),$C$3+8-WEEKDAY($C$3,2)-($F$51+7),0))+IF(ISBLANK($B$4),0,IF(($F$51+7&gt;=$B$4)*($F$51+7&lt;=$C$4),$C$4+8-WEEKDAY($C$4,2)-($F$51+7),0))+IF(ISBLANK($B$5),0,IF(($F$51+7&gt;=$B$5)*($F$51+7&lt;=$C$5),$C$5+8-WEEKDAY($C$5,2)-($F$51+7),0))+IF(ISBLANK($B$6),0,IF(($F$51+7&gt;=$B$6)*($F$51+7&lt;=$C$6),$C$6+8-WEEKDAY($C$6,2)-($F$51+7),0))</f>
        <v/>
      </c>
    </row>
    <row r="53">
      <c r="E53" t="inlineStr">
        <is>
          <t>SW 38</t>
        </is>
      </c>
      <c r="F53" s="13">
        <f>$F$52+7+IF(ISBLANK($B$3),0,IF(($F$52+7&gt;=$B$3)*($F$52+7&lt;=$C$3),$C$3+8-WEEKDAY($C$3,2)-($F$52+7),0))+IF(ISBLANK($B$4),0,IF(($F$52+7&gt;=$B$4)*($F$52+7&lt;=$C$4),$C$4+8-WEEKDAY($C$4,2)-($F$52+7),0))+IF(ISBLANK($B$5),0,IF(($F$52+7&gt;=$B$5)*($F$52+7&lt;=$C$5),$C$5+8-WEEKDAY($C$5,2)-($F$52+7),0))+IF(ISBLANK($B$6),0,IF(($F$52+7&gt;=$B$6)*($F$52+7&lt;=$C$6),$C$6+8-WEEKDAY($C$6,2)-($F$52+7),0))</f>
        <v/>
      </c>
    </row>
    <row r="54">
      <c r="E54" t="inlineStr">
        <is>
          <t>SW 39</t>
        </is>
      </c>
      <c r="F54" s="13">
        <f>$F$53+7+IF(ISBLANK($B$3),0,IF(($F$53+7&gt;=$B$3)*($F$53+7&lt;=$C$3),$C$3+8-WEEKDAY($C$3,2)-($F$53+7),0))+IF(ISBLANK($B$4),0,IF(($F$53+7&gt;=$B$4)*($F$53+7&lt;=$C$4),$C$4+8-WEEKDAY($C$4,2)-($F$53+7),0))+IF(ISBLANK($B$5),0,IF(($F$53+7&gt;=$B$5)*($F$53+7&lt;=$C$5),$C$5+8-WEEKDAY($C$5,2)-($F$53+7),0))+IF(ISBLANK($B$6),0,IF(($F$53+7&gt;=$B$6)*($F$53+7&lt;=$C$6),$C$6+8-WEEKDAY($C$6,2)-($F$53+7),0))</f>
        <v/>
      </c>
    </row>
    <row r="55">
      <c r="E55" t="inlineStr">
        <is>
          <t>SW 40</t>
        </is>
      </c>
      <c r="F55" s="13">
        <f>$F$54+7+IF(ISBLANK($B$3),0,IF(($F$54+7&gt;=$B$3)*($F$54+7&lt;=$C$3),$C$3+8-WEEKDAY($C$3,2)-($F$54+7),0))+IF(ISBLANK($B$4),0,IF(($F$54+7&gt;=$B$4)*($F$54+7&lt;=$C$4),$C$4+8-WEEKDAY($C$4,2)-($F$54+7),0))+IF(ISBLANK($B$5),0,IF(($F$54+7&gt;=$B$5)*($F$54+7&lt;=$C$5),$C$5+8-WEEKDAY($C$5,2)-($F$54+7),0))+IF(ISBLANK($B$6),0,IF(($F$54+7&gt;=$B$6)*($F$54+7&lt;=$C$6),$C$6+8-WEEKDAY($C$6,2)-($F$54+7),0))</f>
        <v/>
      </c>
    </row>
  </sheetData>
  <mergeCells count="1">
    <mergeCell ref="A1:D1"/>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C9"/>
  <sheetViews>
    <sheetView tabSelected="1" workbookViewId="0">
      <selection activeCell="A1" sqref="A1:C1"/>
    </sheetView>
  </sheetViews>
  <sheetFormatPr baseColWidth="10" defaultColWidth="8.7265625" defaultRowHeight="14.5"/>
  <cols>
    <col width="22" customWidth="1" style="62" min="1" max="1"/>
    <col width="14" customWidth="1" style="62" min="2" max="2"/>
    <col width="55" customWidth="1" style="62" min="3" max="3"/>
  </cols>
  <sheetData>
    <row r="1" ht="22" customHeight="1" s="62">
      <c r="A1" s="97" t="inlineStr">
        <is>
          <t>Kategorien-Referenz</t>
        </is>
      </c>
    </row>
    <row r="2" ht="20" customHeight="1" s="62">
      <c r="A2" s="85" t="inlineStr">
        <is>
          <t>Kategorie</t>
        </is>
      </c>
      <c r="B2" s="85" t="inlineStr">
        <is>
          <t>Farbe</t>
        </is>
      </c>
      <c r="C2" s="85" t="inlineStr">
        <is>
          <t>Automatisch erkannte Stichwörter</t>
        </is>
      </c>
    </row>
    <row r="3" ht="18" customHeight="1" s="62">
      <c r="A3" s="98" t="inlineStr">
        <is>
          <t>Jahrgang 5/6</t>
        </is>
      </c>
      <c r="B3" s="99" t="inlineStr">
        <is>
          <t>#FADBD8</t>
        </is>
      </c>
      <c r="C3" s="100" t="inlineStr">
        <is>
          <t>Jg 5, Jg 6, Klasse 5, Klasse 6, DST, Sprachstandstest, Neue 5er, Einschulung</t>
        </is>
      </c>
    </row>
    <row r="4" ht="18" customHeight="1" s="62">
      <c r="A4" s="101" t="inlineStr">
        <is>
          <t>Jahrgang 7/8</t>
        </is>
      </c>
      <c r="B4" s="102" t="inlineStr">
        <is>
          <t>#D5F5E3</t>
        </is>
      </c>
      <c r="C4" s="103" t="inlineStr">
        <is>
          <t>Jg 7, Jg 8, Potenzialanalyse, Sexualerziehung 8, KAoA, WPM, WP-Wahl</t>
        </is>
      </c>
    </row>
    <row r="5" ht="18" customHeight="1" s="62">
      <c r="A5" s="104" t="inlineStr">
        <is>
          <t>Jahrgang 9/10</t>
        </is>
      </c>
      <c r="B5" s="105" t="inlineStr">
        <is>
          <t>#FDE8D3</t>
        </is>
      </c>
      <c r="C5" s="106" t="inlineStr">
        <is>
          <t>Jg 9, Jg 10, Betriebspraktikum, BP, ZP 10, mAP 10, ZAA, Abschlussfahrt 10</t>
        </is>
      </c>
    </row>
    <row r="6" ht="18" customHeight="1" s="62">
      <c r="A6" s="107" t="inlineStr">
        <is>
          <t>Oberstufe</t>
        </is>
      </c>
      <c r="B6" s="108" t="inlineStr">
        <is>
          <t>#D4E6F1</t>
        </is>
      </c>
      <c r="C6" s="109" t="inlineStr">
        <is>
          <t>EF, Q1, Q2, Abi, Abitur, Klausur, ZKL 11, Kurswahl, Studienfahrt, Laufbahnkonferenz</t>
        </is>
      </c>
    </row>
    <row r="7" ht="18" customHeight="1" s="62">
      <c r="A7" s="110" t="inlineStr">
        <is>
          <t>Inklusion</t>
        </is>
      </c>
      <c r="B7" s="111" t="inlineStr">
        <is>
          <t>#D1F2EB</t>
        </is>
      </c>
      <c r="C7" s="112" t="inlineStr">
        <is>
          <t>IFÖ, AL, AL-SuS, Förderplan, Förderpläne, AOSF, I-Helfer, Förderlehrer, Fö-LuL, Beratungsteam</t>
        </is>
      </c>
    </row>
    <row r="8" ht="18" customHeight="1" s="62">
      <c r="A8" s="113" t="inlineStr">
        <is>
          <t>Feiertage/Ferien</t>
        </is>
      </c>
      <c r="B8" s="114" t="inlineStr">
        <is>
          <t>#FDEBD0</t>
        </is>
      </c>
      <c r="C8" s="115" t="inlineStr">
        <is>
          <t>Ferien, Feiertag, Schulfrei, Weihnachten, Ostern, Pfingsten, Chanukka, Ramadan, Newroz</t>
        </is>
      </c>
    </row>
    <row r="9" ht="18" customHeight="1" s="62">
      <c r="A9" s="116" t="inlineStr">
        <is>
          <t>Konferenzen/DB</t>
        </is>
      </c>
      <c r="B9" s="117" t="inlineStr">
        <is>
          <t>#E8DAEF</t>
        </is>
      </c>
      <c r="C9" s="118" t="inlineStr">
        <is>
          <t>LK, FaKo, PK, ZK, SK, KK, DB, TBS, Dienstbesprechung, Schulkonferenz, Projektgruppen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2026-03-21T15:18:10Z</dcterms:created>
  <dcterms:modified xsi:type="dcterms:W3CDTF">2026-03-22T19:33:20Z</dcterms:modified>
  <cp:lastModifiedBy>Julian Wagner</cp:lastModifiedBy>
</cp:coreProperties>
</file>